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78e4221df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s" sheetId="1" r:id="R3cbf4b9402734d05"/>
    <x:sheet xmlns:r="http://schemas.openxmlformats.org/officeDocument/2006/relationships" name="Shared expenses" sheetId="2" r:id="R095ab4fd022d4469"/>
    <x:sheet xmlns:r="http://schemas.openxmlformats.org/officeDocument/2006/relationships" name="Flights" sheetId="3" r:id="Rafe1434a309647b6"/>
    <x:sheet xmlns:r="http://schemas.openxmlformats.org/officeDocument/2006/relationships" name="Kandy" sheetId="4" r:id="Rd7f0297c81bf41a3"/>
    <x:sheet xmlns:r="http://schemas.openxmlformats.org/officeDocument/2006/relationships" name="Scapia" sheetId="5" r:id="Rf686120a26be4667"/>
    <x:sheet xmlns:r="http://schemas.openxmlformats.org/officeDocument/2006/relationships" name="Pool personal" sheetId="6" r:id="R1ca1c130d9af4c07"/>
    <x:sheet xmlns:r="http://schemas.openxmlformats.org/officeDocument/2006/relationships" name="Pranav" sheetId="7" r:id="R8528d9af88954b98"/>
    <x:sheet xmlns:r="http://schemas.openxmlformats.org/officeDocument/2006/relationships" name="Day-wise" sheetId="8" r:id="R963ad17beb2f4dd6"/>
    <x:sheet xmlns:r="http://schemas.openxmlformats.org/officeDocument/2006/relationships" name="Person breakdown" sheetId="9" r:id="Rf208e5fb936446d2"/>
    <x:sheet xmlns:r="http://schemas.openxmlformats.org/officeDocument/2006/relationships" name="Missing items" sheetId="10" r:id="R0ef930650680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₹&quot;#,##0.00;[Red](&quot;₹&quot;#,##0.00);&quot;₹&quot;0.00"/>
    <x:numFmt numFmtId="201" formatCode="0.00"/>
    <x:numFmt numFmtId="202" formatCode="&quot;LKR &quot;#,##0.00"/>
    <x:numFmt numFmtId="203" formatCode="&quot;USD &quot;#,##0.00"/>
  </x:numFmts>
  <x:fonts count="19">
    <x:font>
      <x:sz val="11"/>
      <x:name val="Carlito"/>
    </x:font>
    <x:font>
      <x:sz val="11"/>
      <x:color rgb="FF223247"/>
      <x:name val="Arial"/>
    </x:font>
    <x:font>
      <x:b/>
      <x:sz val="17"/>
      <x:color rgb="FF243953"/>
      <x:name val="Arial"/>
    </x:font>
    <x:font>
      <x:i/>
      <x:sz val="11"/>
      <x:color rgb="FF58677A"/>
      <x:name val="Arial"/>
    </x:font>
    <x:font>
      <x:b/>
      <x:sz val="11"/>
      <x:color rgb="FFFFFFFF"/>
      <x:name val="Arial"/>
    </x:font>
    <x:font>
      <x:b/>
      <x:sz val="11"/>
      <x:color rgb="FF223247"/>
      <x:name val="Arial"/>
    </x:font>
    <x:font>
      <x:sz val="11"/>
      <x:color rgb="FF2459A6"/>
      <x:name val="Arial"/>
    </x:font>
    <x:font>
      <x:b/>
      <x:sz val="15"/>
      <x:color rgb="FF223247"/>
      <x:name val="Arial"/>
    </x:font>
    <x:font>
      <x:b/>
      <x:sz val="11"/>
      <x:color rgb="FF243953"/>
      <x:name val="Arial"/>
    </x:font>
    <x:font>
      <x:sz val="11"/>
      <x:color rgb="FF58677A"/>
      <x:name val="Arial"/>
    </x:font>
    <x:font>
      <x:b/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4"/>
      <x:color rgb="FF243953"/>
      <x:name val="Arial"/>
    </x:font>
    <x:font>
      <x:sz val="11"/>
      <x:color rgb="FF223247"/>
      <x:name val="Arial"/>
    </x:font>
    <x:font>
      <x:sz val="11"/>
      <x:color rgb="FF223247"/>
      <x:name val="Arial"/>
    </x:font>
    <x:font>
      <x:b/>
      <x:sz val="17"/>
      <x:color rgb="FF223247"/>
      <x:name val="Arial"/>
    </x:font>
    <x:font>
      <x:sz val="11"/>
      <x:color rgb="FF936019"/>
      <x:name val="Arial"/>
    </x:font>
    <x:font>
      <x:sz val="11"/>
      <x:color rgb="FF223247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243953"/>
      </x:patternFill>
    </x:fill>
    <x:fill>
      <x:patternFill patternType="solid">
        <x:fgColor rgb="FFF0F4F8"/>
      </x:patternFill>
    </x:fill>
    <x:fill>
      <x:patternFill patternType="solid">
        <x:fgColor rgb="FFE2EAF3"/>
      </x:patternFill>
    </x:fill>
    <x:fill>
      <x:patternFill patternType="solid">
        <x:fgColor rgb="FFE2EAF3"/>
      </x:patternFill>
    </x:fill>
    <x:fill>
      <x:patternFill patternType="solid">
        <x:fgColor rgb="FFF0F4F8"/>
      </x:patternFill>
    </x:fill>
    <x:fill>
      <x:patternFill patternType="solid">
        <x:fgColor rgb="FF243953"/>
      </x:patternFill>
    </x:fill>
    <x:fill>
      <x:patternFill patternType="solid">
        <x:fgColor rgb="FFF0F4F8"/>
      </x:patternFill>
    </x:fill>
    <x:fill>
      <x:patternFill patternType="solid">
        <x:fgColor rgb="FFE2EAF3"/>
      </x:patternFill>
    </x:fill>
    <x:fill>
      <x:patternFill patternType="solid">
        <x:fgColor rgb="FFF0F4F8"/>
      </x:patternFill>
    </x:fill>
    <x:fill>
      <x:patternFill patternType="solid">
        <x:fgColor rgb="FFE2EAF3"/>
      </x:patternFill>
    </x:fill>
    <x:fill>
      <x:patternFill patternType="solid">
        <x:fgColor rgb="FF243953"/>
      </x:patternFill>
    </x:fill>
    <x:fill>
      <x:patternFill patternType="solid">
        <x:fgColor rgb="FFF0F4F8"/>
      </x:patternFill>
    </x:fill>
    <x:fill>
      <x:patternFill patternType="solid">
        <x:fgColor rgb="FFE2EAF3"/>
      </x:patternFill>
    </x:fill>
    <x:fill>
      <x:patternFill patternType="solid">
        <x:fgColor rgb="FFFFF0C2"/>
      </x:patternFill>
    </x:fill>
    <x:fill>
      <x:patternFill patternType="solid">
        <x:fgColor rgb="FF243953"/>
      </x:patternFill>
    </x:fill>
    <x:fill>
      <x:patternFill patternType="solid">
        <x:fgColor rgb="FFF0F4F8"/>
      </x:patternFill>
    </x:fill>
    <x:fill>
      <x:patternFill patternType="solid">
        <x:fgColor rgb="FFE2EAF3"/>
      </x:patternFill>
    </x:fill>
    <x:fill>
      <x:patternFill patternType="solid">
        <x:fgColor rgb="FF243953"/>
      </x:patternFill>
    </x:fill>
    <x:fill>
      <x:patternFill patternType="solid">
        <x:fgColor rgb="FFE2EAF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FFF0C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243953"/>
      </x:top>
      <x:bottom/>
      <x:diagonal/>
    </x:border>
  </x:borders>
  <x:cellStyleXfs count="1">
    <x:xf numFmtId="0" fontId="0" fillId="0" borderId="0"/>
  </x:cellStyleXfs>
  <x:cellXfs count="1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1" fillId="6" borderId="0" xfId="0" applyNumberFormat="1" applyFont="1" applyFill="1" applyBorder="1"/>
    <x:xf numFmtId="0" fontId="11" fillId="0" borderId="0" xfId="0" applyNumberFormat="1" applyFont="1" applyFill="1" applyBorder="1"/>
    <x:xf numFmtId="0" fontId="12" fillId="5" borderId="0" xfId="0" applyNumberFormat="1" applyFont="1" applyFill="1" applyBorder="1"/>
    <x:xf numFmtId="200" fontId="11" fillId="6" borderId="0" xfId="0" applyNumberFormat="1" applyFont="1" applyFill="1" applyBorder="1"/>
    <x:xf numFmtId="200" fontId="11" fillId="0" borderId="0" xfId="0" applyNumberFormat="1" applyFont="1" applyFill="1" applyBorder="1"/>
    <x:xf numFmtId="200" fontId="12" fillId="5" borderId="0" xfId="0" applyNumberFormat="1" applyFont="1" applyFill="1" applyBorder="1"/>
    <x:xf numFmtId="200" fontId="6" fillId="6" borderId="0" xfId="0" applyNumberFormat="1" applyFont="1" applyFill="1" applyBorder="1"/>
    <x:xf numFmtId="200" fontId="6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5" fillId="9" borderId="0" xfId="0" applyNumberFormat="1" applyFont="1" applyFill="1" applyBorder="1"/>
    <x:xf numFmtId="200" fontId="1" fillId="8" borderId="0" xfId="0" applyNumberFormat="1" applyFont="1" applyFill="1" applyBorder="1"/>
    <x:xf numFmtId="200" fontId="1" fillId="0" borderId="0" xfId="0" applyNumberFormat="1" applyFont="1" applyFill="1" applyBorder="1"/>
    <x:xf numFmtId="200" fontId="5" fillId="9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0" borderId="0" xfId="0" applyNumberFormat="1" applyFont="1" applyFill="1" applyBorder="1"/>
    <x:xf numFmtId="200" fontId="6" fillId="10" borderId="0" xfId="0" applyNumberFormat="1" applyFont="1" applyFill="1" applyBorder="1"/>
    <x:xf numFmtId="200" fontId="1" fillId="10" borderId="0" xfId="0" applyNumberFormat="1" applyFont="1" applyFill="1" applyBorder="1"/>
    <x:xf numFmtId="0" fontId="1" fillId="11" borderId="0" xfId="0" applyNumberFormat="1" applyFont="1" applyFill="1" applyBorder="1"/>
    <x:xf numFmtId="200" fontId="1" fillId="11" borderId="0" xfId="0" applyNumberFormat="1" applyFont="1" applyFill="1" applyBorder="1"/>
    <x:xf numFmtId="0" fontId="5" fillId="11" borderId="0" xfId="0" applyNumberFormat="1" applyFont="1" applyFill="1" applyBorder="1"/>
    <x:xf numFmtId="200" fontId="5" fillId="11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5" fillId="10" borderId="0" xfId="0" applyNumberFormat="1" applyFont="1" applyFill="1" applyBorder="1"/>
    <x:xf numFmtId="200" fontId="5" fillId="10" borderId="0" xfId="0" applyNumberFormat="1" applyFont="1" applyFill="1" applyBorder="1"/>
    <x:xf numFmtId="0" fontId="14" fillId="10" borderId="0" xfId="0" applyNumberFormat="1" applyFont="1" applyFill="1" applyBorder="1"/>
    <x:xf numFmtId="200" fontId="14" fillId="10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200" fontId="1" fillId="13" borderId="0" xfId="0" applyNumberFormat="1" applyFont="1" applyFill="1" applyBorder="1" applyAlignment="1">
      <x:alignment vertical="center"/>
    </x:xf>
    <x:xf numFmtId="200" fontId="5" fillId="14" borderId="0" xfId="0" applyNumberFormat="1" applyFont="1" applyFill="1" applyBorder="1" applyAlignment="1">
      <x:alignment vertical="center"/>
    </x:xf>
    <x:xf numFmtId="200" fontId="6" fillId="1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15" borderId="0" xfId="0" applyNumberFormat="1" applyFont="1" applyFill="1" applyBorder="1" applyAlignment="1">
      <x:alignment vertical="center"/>
    </x:xf>
    <x:xf numFmtId="201" fontId="6" fillId="15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14" borderId="0" xfId="0" applyNumberFormat="1" applyFont="1" applyFill="1" applyBorder="1" applyAlignment="1">
      <x:alignment vertical="center"/>
    </x:xf>
    <x:xf numFmtId="202" fontId="6" fillId="13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13" borderId="0" xfId="0" applyNumberFormat="1" applyFont="1" applyFill="1" applyBorder="1"/>
    <x:xf numFmtId="200" fontId="1" fillId="13" borderId="0" xfId="0" applyNumberFormat="1" applyFont="1" applyFill="1" applyBorder="1"/>
    <x:xf numFmtId="0" fontId="15" fillId="13" borderId="0" xfId="0" applyNumberFormat="1" applyFont="1" applyFill="1" applyBorder="1"/>
    <x:xf numFmtId="200" fontId="15" fillId="13" borderId="0" xfId="0" applyNumberFormat="1" applyFont="1" applyFill="1" applyBorder="1"/>
    <x:xf numFmtId="0" fontId="5" fillId="14" borderId="0" xfId="0" applyNumberFormat="1" applyFont="1" applyFill="1" applyBorder="1"/>
    <x:xf numFmtId="200" fontId="5" fillId="14" borderId="0" xfId="0" applyNumberFormat="1" applyFont="1" applyFill="1" applyBorder="1"/>
    <x:xf numFmtId="0" fontId="16" fillId="0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200" fontId="1" fillId="17" borderId="0" xfId="0" applyNumberFormat="1" applyFont="1" applyFill="1" applyBorder="1" applyAlignment="1">
      <x:alignment vertical="center"/>
    </x:xf>
    <x:xf numFmtId="200" fontId="5" fillId="18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vertical="center"/>
    </x:xf>
    <x:xf numFmtId="200" fontId="5" fillId="2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5" fillId="21" borderId="0" xfId="0" applyNumberFormat="1" applyFont="1" applyFill="1" applyBorder="1" applyAlignment="1">
      <x:alignment vertical="center"/>
    </x:xf>
    <x:xf numFmtId="200" fontId="5" fillId="21" borderId="0" xfId="0" applyNumberFormat="1" applyFont="1" applyFill="1" applyBorder="1" applyAlignment="1">
      <x:alignment vertical="center"/>
    </x:xf>
    <x:xf numFmtId="0" fontId="18" fillId="21" borderId="0" xfId="0" applyNumberFormat="1" applyFont="1" applyFill="1" applyBorder="1" applyAlignment="1">
      <x:alignment vertical="center"/>
    </x:xf>
    <x:xf numFmtId="200" fontId="18" fillId="21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200" fontId="1" fillId="22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 wrapText="1"/>
    </x:xf>
    <x:xf numFmtId="203" fontId="6" fillId="23" borderId="0" xfId="0" applyNumberFormat="1" applyFont="1" applyFill="1" applyBorder="1" applyAlignment="1">
      <x:alignment vertical="center" wrapText="1"/>
    </x:xf>
    <x:xf numFmtId="202" fontId="6" fillId="23" borderId="0" xfId="0" applyNumberFormat="1" applyFont="1" applyFill="1" applyBorder="1" applyAlignment="1">
      <x:alignment vertical="center" wrapText="1"/>
    </x:xf>
    <x:xf numFmtId="200" fontId="6" fillId="23" borderId="0" xfId="0" applyNumberFormat="1" applyFont="1" applyFill="1" applyBorder="1" applyAlignment="1">
      <x:alignment vertical="center" wrapText="1"/>
    </x:xf>
    <x:xf numFmtId="200" fontId="1" fillId="24" borderId="0" xfId="0" applyNumberFormat="1" applyFont="1" applyFill="1" applyBorder="1" applyAlignment="1">
      <x:alignment vertical="center"/>
    </x:xf>
    <x:xf numFmtId="200" fontId="1" fillId="2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A4D00"/>
      </x:font>
      <x:fill>
        <x:patternFill>
          <x:bgColor rgb="FFFFF0C2"/>
        </x:patternFill>
      </x:fill>
    </x:dxf>
    <x:dxf>
      <x:font>
        <x:b/>
        <x:color rgb="FF9A4D00"/>
      </x:font>
      <x:fill>
        <x:patternFill>
          <x:bgColor rgb="FFFFF0C2"/>
        </x:patternFill>
      </x:fill>
    </x:dxf>
    <x:dxf>
      <x:font>
        <x:b/>
        <x:color rgb="FF16704A"/>
      </x:font>
      <x:fill>
        <x:patternFill>
          <x:bgColor rgb="FFEAF6F0"/>
        </x:patternFill>
      </x:fill>
    </x:dxf>
    <x:dxf>
      <x:font>
        <x:b/>
        <x:color rgb="FF9A4D00"/>
      </x:font>
      <x:fill>
        <x:patternFill>
          <x:bgColor rgb="FFFFF4E5"/>
        </x:patternFill>
      </x:fill>
    </x:dxf>
    <x:dxf>
      <x:font>
        <x:b/>
        <x:color rgb="FFAC2925"/>
      </x:font>
      <x:fill>
        <x:patternFill>
          <x:bgColor rgb="FFFCE8E6"/>
        </x:patternFill>
      </x:fill>
    </x:dxf>
    <x:dxf>
      <x:font>
        <x:b/>
        <x:color rgb="FFAC2925"/>
      </x:font>
      <x:fill>
        <x:patternFill>
          <x:bgColor rgb="FFFCE8E6"/>
        </x:patternFill>
      </x:fill>
    </x:dxf>
    <x:dxf>
      <x:font>
        <x:b/>
        <x:color rgb="FFAC2925"/>
      </x:font>
      <x:fill>
        <x:patternFill>
          <x:bgColor rgb="FFFCE8E6"/>
        </x:patternFill>
      </x:fill>
    </x:dxf>
    <x:dxf>
      <x:font>
        <x:b/>
        <x:color rgb="FF9A4D00"/>
      </x:font>
      <x:fill>
        <x:patternFill>
          <x:bgColor rgb="FFFFF0C2"/>
        </x:patternFill>
      </x:fill>
    </x:dxf>
    <x:dxf>
      <x:font>
        <x:b/>
        <x:color rgb="FF16704A"/>
      </x:font>
      <x:fill>
        <x:patternFill>
          <x:bgColor rgb="FFEAF6F0"/>
        </x:patternFill>
      </x:fill>
    </x:dxf>
    <x:dxf>
      <x:font>
        <x:b/>
        <x:color rgb="FF9A4D00"/>
      </x:font>
      <x:fill>
        <x:patternFill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3bc20e4624532" /><Relationship Type="http://schemas.openxmlformats.org/officeDocument/2006/relationships/theme" Target="/xl/theme/theme1.xml" Id="R95652a1134b6468f" /><Relationship Type="http://schemas.openxmlformats.org/officeDocument/2006/relationships/sharedStrings" Target="/xl/sharedStrings.xml" Id="Raaadb85557a143a5" /><Relationship Type="http://schemas.openxmlformats.org/officeDocument/2006/relationships/worksheet" Target="/xl/worksheets/sheet1.xml" Id="R3cbf4b9402734d05" /><Relationship Type="http://schemas.openxmlformats.org/officeDocument/2006/relationships/worksheet" Target="/xl/worksheets/sheet2.xml" Id="R095ab4fd022d4469" /><Relationship Type="http://schemas.openxmlformats.org/officeDocument/2006/relationships/worksheet" Target="/xl/worksheets/sheet3.xml" Id="Rafe1434a309647b6" /><Relationship Type="http://schemas.openxmlformats.org/officeDocument/2006/relationships/worksheet" Target="/xl/worksheets/sheet4.xml" Id="Rd7f0297c81bf41a3" /><Relationship Type="http://schemas.openxmlformats.org/officeDocument/2006/relationships/worksheet" Target="/xl/worksheets/sheet5.xml" Id="Rf686120a26be4667" /><Relationship Type="http://schemas.openxmlformats.org/officeDocument/2006/relationships/worksheet" Target="/xl/worksheets/sheet6.xml" Id="R1ca1c130d9af4c07" /><Relationship Type="http://schemas.openxmlformats.org/officeDocument/2006/relationships/worksheet" Target="/xl/worksheets/sheet7.xml" Id="R8528d9af88954b98" /><Relationship Type="http://schemas.openxmlformats.org/officeDocument/2006/relationships/worksheet" Target="/xl/worksheets/sheet8.xml" Id="R963ad17beb2f4dd6" /><Relationship Type="http://schemas.openxmlformats.org/officeDocument/2006/relationships/worksheet" Target="/xl/worksheets/sheet9.xml" Id="Rf208e5fb936446d2" /><Relationship Type="http://schemas.openxmlformats.org/officeDocument/2006/relationships/worksheet" Target="/xl/worksheets/sheet10.xml" Id="R0ef9306506804f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953"/>
  </x:sheetPr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2" hidden="0" customWidth="1"/>
    <x:col min="7" max="7" width="23" hidden="0" customWidth="1"/>
    <x:col min="8" max="8" width="2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Sri Lanka trip expense split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/>
      <x:c r="B3" s="4"/>
      <x:c r="C3" s="4"/>
      <x:c r="D3" s="4"/>
      <x:c r="E3" s="4"/>
      <x:c r="F3" s="4"/>
      <x:c r="G3" s="4"/>
      <x:c r="H3" s="4"/>
    </x:row>
    <x:row r="4" ht="25" customHeight="1">
      <x:c r="A4" s="5" t="str">
        <x:v>7 adults. General reset list, later clarifications and supplied day-wise entries. All totals in INR.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42" t="str">
        <x:v>See Person breakdown for Flight + Cash + Surati + Other and the Jinal settlement explanation.</x:v>
      </x:c>
      <x:c r="B5" s="42"/>
      <x:c r="C5" s="42"/>
      <x:c r="D5" s="42"/>
      <x:c r="E5" s="42"/>
      <x:c r="F5" s="42"/>
      <x:c r="G5" s="42"/>
      <x:c r="H5" s="42"/>
    </x:row>
    <x:row r="6" ht="33" customHeight="1">
      <x:c r="A6" s="2" t="str">
        <x:v>Trip expense total</x:v>
      </x:c>
      <x:c r="B6" s="22" t="n">
        <x:f>'Shared expenses'!D15+Flights!B14+Kandy!B7+'Shared expenses'!D34+Scapia!E30+'Day-wise'!D31</x:f>
        <x:v>536731</x:v>
      </x:c>
      <x:c r="C6" s="2"/>
      <x:c r="D6" s="2" t="str">
        <x:v>Kandy villa total</x:v>
      </x:c>
      <x:c r="E6" s="128" t="n">
        <x:f>Kandy!B7</x:f>
        <x:v>17465</x:v>
      </x:c>
      <x:c r="F6" s="2"/>
      <x:c r="G6" s="2" t="str">
        <x:v>Allocation status</x:v>
      </x:c>
      <x:c r="H6" s="2" t="str">
        <x:f>IF(ABS(Kandy!B20)&lt;0.005,"Reconciled","PROVISIONAL")</x:f>
        <x:v>Reconciled</x:v>
      </x:c>
    </x:row>
    <x:row r="7" ht="25" customHeight="1">
      <x:c r="A7" s="42" t="str">
        <x:v>Includes general costs, ₹1,05,000 carry cash and Scapia. Personal pooled draws reallocate cash cost without adding expense.</x:v>
      </x:c>
      <x:c r="B7" s="42"/>
      <x:c r="C7" s="42"/>
      <x:c r="D7" s="42"/>
      <x:c r="E7" s="42"/>
      <x:c r="F7" s="42"/>
      <x:c r="G7" s="42"/>
      <x:c r="H7" s="42"/>
    </x:row>
    <x:row r="8" ht="25" customHeight="1">
      <x:c r="A8" s="2"/>
      <x:c r="B8" s="2"/>
      <x:c r="C8" s="2"/>
      <x:c r="D8" s="2"/>
      <x:c r="E8" s="2"/>
      <x:c r="F8" s="2"/>
      <x:c r="G8" s="2"/>
      <x:c r="H8" s="2"/>
    </x:row>
    <x:row r="9" ht="39" customHeight="1">
      <x:c r="A9" s="9" t="str">
        <x:v>Adult</x:v>
      </x:c>
      <x:c r="B9" s="9" t="str">
        <x:v>Group credit</x:v>
      </x:c>
      <x:c r="C9" s="9" t="str">
        <x:v>Flight cost</x:v>
      </x:c>
      <x:c r="D9" s="9" t="str">
        <x:v>Equal shared cost</x:v>
      </x:c>
      <x:c r="E9" s="9" t="str">
        <x:v>Kandy allocation</x:v>
      </x:c>
      <x:c r="F9" s="9" t="str">
        <x:v>Allocated cost</x:v>
      </x:c>
      <x:c r="G9" s="9" t="str">
        <x:v>Group net</x:v>
      </x:c>
      <x:c r="H9" s="9" t="str">
        <x:v>Position</x:v>
      </x:c>
    </x:row>
    <x:row r="10" ht="25" customHeight="1">
      <x:c r="A10" s="10" t="str">
        <x:v>Rushang</x:v>
      </x:c>
      <x:c r="B10" s="17" t="n">
        <x:f>C10+SUMIFS('Shared expenses'!$D$7:$D$14,'Shared expenses'!$C$7:$C$14,A10)+IF(A10=Kandy!$B$6,Kandy!$B$7,0)+SUMIFS('Shared expenses'!$D$27:$D$33,'Shared expenses'!$C$27:$C$33,A10)+IF(A10="Rushang",Scapia!$E$32,0)+IF(A10="Pranav",Scapia!$E$33,0)+SUMIFS('Day-wise'!$D$29:$D$30,'Day-wise'!$C$29:$C$30,A10)</x:f>
        <x:v>134920</x:v>
      </x:c>
      <x:c r="C10" s="17" t="n">
        <x:f>Flights!B7</x:f>
        <x:v>35500</x:v>
      </x:c>
      <x:c r="D10" s="17" t="n">
        <x:f>ROUND('Shared expenses'!$D$15/COUNTA(Flights!$A$7:$A$13),2)</x:f>
        <x:v>15764.86</x:v>
      </x:c>
      <x:c r="E10" s="17" t="n">
        <x:f>Kandy!B11</x:f>
        <x:v>2860</x:v>
      </x:c>
      <x:c r="F10" s="17" t="n">
        <x:f>SUM(C10:E10)+SUMIFS('Shared expenses'!$D$27:$D$33,'Shared expenses'!$C$27:$C$33,A10)+Scapia!I30-'Pool personal'!D24+'Day-wise'!G31</x:f>
        <x:v>77900.28</x:v>
      </x:c>
      <x:c r="G10" s="17" t="n">
        <x:f>B10-F10</x:f>
        <x:v>57019.72</x:v>
      </x:c>
      <x:c r="H10" s="10" t="str">
        <x:f>IF(G10&gt;0,"To receive",IF(G10&lt;0,"To pay","Even"))</x:f>
        <x:v>To receive</x:v>
      </x:c>
    </x:row>
    <x:row r="11" ht="25" customHeight="1">
      <x:c r="A11" s="2" t="str">
        <x:v>Rushabh</x:v>
      </x:c>
      <x:c r="B11" s="19" t="n">
        <x:f>C11+SUMIFS('Shared expenses'!$D$7:$D$14,'Shared expenses'!$C$7:$C$14,A11)+IF(A11=Kandy!$B$6,Kandy!$B$7,0)+SUMIFS('Shared expenses'!$D$27:$D$33,'Shared expenses'!$C$27:$C$33,A11)+IF(A11="Rushang",Scapia!$E$32,0)+IF(A11="Pranav",Scapia!$E$33,0)+SUMIFS('Day-wise'!$D$29:$D$30,'Day-wise'!$C$29:$C$30,A11)</x:f>
        <x:v>51090</x:v>
      </x:c>
      <x:c r="C11" s="19" t="n">
        <x:f>Flights!B8</x:f>
        <x:v>35500</x:v>
      </x:c>
      <x:c r="D11" s="19" t="n">
        <x:f>ROUND('Shared expenses'!$D$15/COUNTA(Flights!$A$7:$A$13),2)</x:f>
        <x:v>15764.86</x:v>
      </x:c>
      <x:c r="E11" s="19" t="n">
        <x:f>Kandy!B12</x:f>
        <x:v>3017</x:v>
      </x:c>
      <x:c r="F11" s="19" t="n">
        <x:f>SUM(C11:E11)+SUMIFS('Shared expenses'!$D$27:$D$33,'Shared expenses'!$C$27:$C$33,A11)+Scapia!J30-'Pool personal'!D25+'Day-wise'!H31</x:f>
        <x:v>76103.5</x:v>
      </x:c>
      <x:c r="G11" s="19" t="n">
        <x:f>B11-F11</x:f>
        <x:v>-25013.5</x:v>
      </x:c>
      <x:c r="H11" s="2" t="str">
        <x:f>IF(G11&gt;0,"To receive",IF(G11&lt;0,"To pay","Even"))</x:f>
        <x:v>To pay</x:v>
      </x:c>
    </x:row>
    <x:row r="12" ht="25" customHeight="1">
      <x:c r="A12" s="10" t="str">
        <x:v>Bhoomi</x:v>
      </x:c>
      <x:c r="B12" s="17" t="n">
        <x:f>C12+SUMIFS('Shared expenses'!$D$7:$D$14,'Shared expenses'!$C$7:$C$14,A12)+IF(A12=Kandy!$B$6,Kandy!$B$7,0)+SUMIFS('Shared expenses'!$D$27:$D$33,'Shared expenses'!$C$27:$C$33,A12)+IF(A12="Rushang",Scapia!$E$32,0)+IF(A12="Pranav",Scapia!$E$33,0)+SUMIFS('Day-wise'!$D$29:$D$30,'Day-wise'!$C$29:$C$30,A12)</x:f>
        <x:v>50500</x:v>
      </x:c>
      <x:c r="C12" s="17" t="n">
        <x:f>Flights!B9</x:f>
        <x:v>35500</x:v>
      </x:c>
      <x:c r="D12" s="17" t="n">
        <x:f>ROUND('Shared expenses'!$D$15/COUNTA(Flights!$A$7:$A$13),2)</x:f>
        <x:v>15764.86</x:v>
      </x:c>
      <x:c r="E12" s="17" t="n">
        <x:f>Kandy!B13</x:f>
        <x:v>3017</x:v>
      </x:c>
      <x:c r="F12" s="17" t="n">
        <x:f>SUM(C12:E12)+SUMIFS('Shared expenses'!$D$27:$D$33,'Shared expenses'!$C$27:$C$33,A12)+Scapia!K30-'Pool personal'!D26+'Day-wise'!I31</x:f>
        <x:v>75126.83</x:v>
      </x:c>
      <x:c r="G12" s="17" t="n">
        <x:f>B12-F12</x:f>
        <x:v>-24626.83</x:v>
      </x:c>
      <x:c r="H12" s="10" t="str">
        <x:f>IF(G12&gt;0,"To receive",IF(G12&lt;0,"To pay","Even"))</x:f>
        <x:v>To pay</x:v>
      </x:c>
    </x:row>
    <x:row r="13" ht="25" customHeight="1">
      <x:c r="A13" s="2" t="str">
        <x:v>Pranav</x:v>
      </x:c>
      <x:c r="B13" s="19" t="n">
        <x:f>C13+SUMIFS('Shared expenses'!$D$7:$D$14,'Shared expenses'!$C$7:$C$14,A13)+IF(A13=Kandy!$B$6,Kandy!$B$7,0)+SUMIFS('Shared expenses'!$D$27:$D$33,'Shared expenses'!$C$27:$C$33,A13)+IF(A13="Rushang",Scapia!$E$32,0)+IF(A13="Pranav",Scapia!$E$33,0)+SUMIFS('Day-wise'!$D$29:$D$30,'Day-wise'!$C$29:$C$30,A13)</x:f>
        <x:v>82337</x:v>
      </x:c>
      <x:c r="C13" s="19" t="n">
        <x:f>Flights!B10</x:f>
        <x:v>35500</x:v>
      </x:c>
      <x:c r="D13" s="19" t="n">
        <x:f>ROUND('Shared expenses'!$D$15/COUNTA(Flights!$A$7:$A$13),2)</x:f>
        <x:v>15764.86</x:v>
      </x:c>
      <x:c r="E13" s="19" t="n">
        <x:f>Kandy!B14</x:f>
        <x:v>2168</x:v>
      </x:c>
      <x:c r="F13" s="19" t="n">
        <x:f>SUM(C13:E13)+SUMIFS('Shared expenses'!$D$27:$D$33,'Shared expenses'!$C$27:$C$33,A13)+Scapia!L30-'Pool personal'!D27+'Day-wise'!J31</x:f>
        <x:v>80253.61</x:v>
      </x:c>
      <x:c r="G13" s="19" t="n">
        <x:f>B13-F13</x:f>
        <x:v>2083.3899999999994</x:v>
      </x:c>
      <x:c r="H13" s="2" t="str">
        <x:f>IF(G13&gt;0,"To receive",IF(G13&lt;0,"To pay","Even"))</x:f>
        <x:v>To receive</x:v>
      </x:c>
    </x:row>
    <x:row r="14" ht="25" customHeight="1">
      <x:c r="A14" s="10" t="str">
        <x:v>Divya</x:v>
      </x:c>
      <x:c r="B14" s="17" t="n">
        <x:f>C14+SUMIFS('Shared expenses'!$D$7:$D$14,'Shared expenses'!$C$7:$C$14,A14)+IF(A14=Kandy!$B$6,Kandy!$B$7,0)+SUMIFS('Shared expenses'!$D$27:$D$33,'Shared expenses'!$C$27:$C$33,A14)+IF(A14="Rushang",Scapia!$E$32,0)+IF(A14="Pranav",Scapia!$E$33,0)+SUMIFS('Day-wise'!$D$29:$D$30,'Day-wise'!$C$29:$C$30,A14)</x:f>
        <x:v>50500</x:v>
      </x:c>
      <x:c r="C14" s="17" t="n">
        <x:f>Flights!B11</x:f>
        <x:v>35500</x:v>
      </x:c>
      <x:c r="D14" s="17" t="n">
        <x:f>ROUND('Shared expenses'!$D$15/COUNTA(Flights!$A$7:$A$13),2)</x:f>
        <x:v>15764.86</x:v>
      </x:c>
      <x:c r="E14" s="17" t="n">
        <x:f>Kandy!B15</x:f>
        <x:v>2168</x:v>
      </x:c>
      <x:c r="F14" s="17" t="n">
        <x:f>SUM(C14:E14)+SUMIFS('Shared expenses'!$D$27:$D$33,'Shared expenses'!$C$27:$C$33,A14)+Scapia!M30-'Pool personal'!D28+'Day-wise'!K31</x:f>
        <x:v>75555.61</x:v>
      </x:c>
      <x:c r="G14" s="17" t="n">
        <x:f>B14-F14</x:f>
        <x:v>-25055.61</x:v>
      </x:c>
      <x:c r="H14" s="10" t="str">
        <x:f>IF(G14&gt;0,"To receive",IF(G14&lt;0,"To pay","Even"))</x:f>
        <x:v>To pay</x:v>
      </x:c>
    </x:row>
    <x:row r="15" ht="25" customHeight="1">
      <x:c r="A15" s="2" t="str">
        <x:v>Pankaj</x:v>
      </x:c>
      <x:c r="B15" s="19" t="n">
        <x:f>C15+SUMIFS('Shared expenses'!$D$7:$D$14,'Shared expenses'!$C$7:$C$14,A15)+IF(A15=Kandy!$B$6,Kandy!$B$7,0)+SUMIFS('Shared expenses'!$D$27:$D$33,'Shared expenses'!$C$27:$C$33,A15)+IF(A15="Rushang",Scapia!$E$32,0)+IF(A15="Pranav",Scapia!$E$33,0)+SUMIFS('Day-wise'!$D$29:$D$30,'Day-wise'!$C$29:$C$30,A15)</x:f>
        <x:v>85496</x:v>
      </x:c>
      <x:c r="C15" s="19" t="n">
        <x:f>Flights!B12</x:f>
        <x:v>35500</x:v>
      </x:c>
      <x:c r="D15" s="19" t="n">
        <x:f>ROUND('Shared expenses'!$D$15/COUNTA(Flights!$A$7:$A$13),2)</x:f>
        <x:v>15764.86</x:v>
      </x:c>
      <x:c r="E15" s="19" t="n">
        <x:f>Kandy!B16</x:f>
        <x:v>1375</x:v>
      </x:c>
      <x:c r="F15" s="19" t="n">
        <x:f>SUM(C15:E15)+SUMIFS('Shared expenses'!$D$27:$D$33,'Shared expenses'!$C$27:$C$33,A15)+Scapia!N30-'Pool personal'!D29+'Day-wise'!L31</x:f>
        <x:v>75543.61000000002</x:v>
      </x:c>
      <x:c r="G15" s="19" t="n">
        <x:f>B15-F15</x:f>
        <x:v>9952.389999999985</x:v>
      </x:c>
      <x:c r="H15" s="2" t="str">
        <x:f>IF(G15&gt;0,"To receive",IF(G15&lt;0,"To pay","Even"))</x:f>
        <x:v>To receive</x:v>
      </x:c>
    </x:row>
    <x:row r="16" ht="25" customHeight="1">
      <x:c r="A16" s="10" t="str">
        <x:v>Jinal</x:v>
      </x:c>
      <x:c r="B16" s="17" t="n">
        <x:f>C16+SUMIFS('Shared expenses'!$D$7:$D$14,'Shared expenses'!$C$7:$C$14,A16)+IF(A16=Kandy!$B$6,Kandy!$B$7,0)+SUMIFS('Shared expenses'!$D$27:$D$33,'Shared expenses'!$C$27:$C$33,A16)+IF(A16="Rushang",Scapia!$E$32,0)+IF(A16="Pranav",Scapia!$E$33,0)+SUMIFS('Day-wise'!$D$29:$D$30,'Day-wise'!$C$29:$C$30,A16)</x:f>
        <x:v>81888</x:v>
      </x:c>
      <x:c r="C16" s="17" t="n">
        <x:f>Flights!B13</x:f>
        <x:v>35500</x:v>
      </x:c>
      <x:c r="D16" s="17" t="n">
        <x:f>'Shared expenses'!$D$15-SUM(D10:D15)</x:f>
        <x:v>15764.839999999997</x:v>
      </x:c>
      <x:c r="E16" s="17" t="n">
        <x:f>Kandy!B17</x:f>
        <x:v>2860</x:v>
      </x:c>
      <x:c r="F16" s="17" t="n">
        <x:f>SUM(C16:E16)+SUMIFS('Shared expenses'!$D$27:$D$33,'Shared expenses'!$C$27:$C$33,A16)+Scapia!O30-'Pool personal'!D30+'Day-wise'!M31</x:f>
        <x:v>76247.56</x:v>
      </x:c>
      <x:c r="G16" s="17" t="n">
        <x:f>B16-F16</x:f>
        <x:v>5640.440000000002</x:v>
      </x:c>
      <x:c r="H16" s="10" t="str">
        <x:f>IF(G16&gt;0,"To receive",IF(G16&lt;0,"To pay","Even"))</x:f>
        <x:v>To receive</x:v>
      </x:c>
    </x:row>
    <x:row r="17" ht="29" customHeight="1">
      <x:c r="A17" s="13" t="str">
        <x:v>Total</x:v>
      </x:c>
      <x:c r="B17" s="20" t="n">
        <x:f>SUM(B10:B16)</x:f>
        <x:v>536731</x:v>
      </x:c>
      <x:c r="C17" s="20" t="n">
        <x:f>SUM(C10:C16)</x:f>
        <x:v>248500</x:v>
      </x:c>
      <x:c r="D17" s="20" t="n">
        <x:f>SUM(D10:D16)</x:f>
        <x:v>110354</x:v>
      </x:c>
      <x:c r="E17" s="20" t="n">
        <x:f>SUM(E10:E16)</x:f>
        <x:v>17465</x:v>
      </x:c>
      <x:c r="F17" s="20" t="n">
        <x:f>SUM(F10:F16)</x:f>
        <x:v>536731</x:v>
      </x:c>
      <x:c r="G17" s="20" t="n">
        <x:f>ROUND(SUM(G10:G16),2)</x:f>
        <x:v>0</x:v>
      </x:c>
      <x:c r="H17" s="13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21" t="str">
        <x:v>How to read balances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2" t="str">
        <x:v>Group net excludes direct personal repayments to Rushang. Scapia shared purchases and pooled-personal adjustments are included.</x:v>
      </x:c>
      <x:c r="B21" s="2"/>
      <x:c r="C21" s="2"/>
      <x:c r="D21" s="2"/>
      <x:c r="E21" s="2"/>
      <x:c r="F21" s="2"/>
      <x:c r="G21" s="2"/>
      <x:c r="H21" s="2"/>
    </x:row>
    <x:row r="22" ht="25" customHeight="1">
      <x:c r="A22" s="2" t="str">
        <x:v>All currently recorded expenses are allocated. The missing Rushabh currency conversion remains excluded until confirmed.</x:v>
      </x:c>
      <x:c r="B22" s="2"/>
      <x:c r="C22" s="2"/>
      <x:c r="D22" s="2"/>
      <x:c r="E22" s="2"/>
      <x:c r="F22" s="2"/>
      <x:c r="G22" s="2"/>
      <x:c r="H22" s="2"/>
    </x:row>
    <x:row r="23" ht="25" customHeight="1">
      <x:c r="A23" s="2" t="str">
        <x:v>Equal shared pool is rounded to paise: six adults receive the rounded share and Jinal receives the remainder.</x:v>
      </x:c>
      <x:c r="B23" s="2"/>
      <x:c r="C23" s="2"/>
      <x:c r="D23" s="2"/>
      <x:c r="E23" s="2"/>
      <x:c r="F23" s="2"/>
      <x:c r="G23" s="2"/>
      <x:c r="H23" s="2"/>
    </x:row>
    <x:row r="24" ht="25" customHeight="1">
      <x:c r="A24" s="42" t="str">
        <x:v>Allocated cost includes cash and Scapia. Cash personal use is converted at ₹0.26/LKR and reallocated among the 7 contributors.</x:v>
      </x:c>
      <x:c r="B24" s="42"/>
      <x:c r="C24" s="42"/>
      <x:c r="D24" s="42"/>
      <x:c r="E24" s="42"/>
      <x:c r="F24" s="42"/>
      <x:c r="G24" s="42"/>
      <x:c r="H24" s="42"/>
    </x:row>
    <x:row r="25" ht="25" customHeight="1">
      <x:c r="A25" s="21" t="str">
        <x:v>Reconciliation</x:v>
      </x:c>
      <x:c r="B25" s="2"/>
      <x:c r="C25" s="2"/>
      <x:c r="D25" s="2"/>
      <x:c r="E25" s="2"/>
      <x:c r="F25" s="2"/>
      <x:c r="G25" s="2"/>
      <x:c r="H25" s="2"/>
    </x:row>
    <x:row r="26" ht="43" customHeight="1">
      <x:c r="A26" s="23" t="str">
        <x:v>Group credits less trip costs</x:v>
      </x:c>
      <x:c r="B26" s="19" t="n">
        <x:f>B17-B6</x:f>
        <x:v>0</x:v>
      </x:c>
      <x:c r="C26" s="2" t="str">
        <x:v>Expected: ₹0.00</x:v>
      </x:c>
      <x:c r="D26" s="2"/>
      <x:c r="E26" s="2"/>
      <x:c r="F26" s="2"/>
      <x:c r="G26" s="2"/>
      <x:c r="H26" s="2"/>
    </x:row>
    <x:row r="27" ht="43" customHeight="1">
      <x:c r="A27" s="23" t="str">
        <x:v>Allocated costs plus unassigned less trip costs</x:v>
      </x:c>
      <x:c r="B27" s="19" t="n">
        <x:f>F17+Kandy!B20-B6</x:f>
        <x:v>0</x:v>
      </x:c>
      <x:c r="C27" s="2" t="str">
        <x:v>Expected: ₹0.00</x:v>
      </x:c>
      <x:c r="D27" s="2"/>
      <x:c r="E27" s="2"/>
      <x:c r="F27" s="2"/>
      <x:c r="G27" s="2"/>
      <x:c r="H27" s="2"/>
    </x:row>
    <x:row r="28" ht="43" customHeight="1">
      <x:c r="A28" s="23" t="str">
        <x:v>Net balances less unassigned Kandy</x:v>
      </x:c>
      <x:c r="B28" s="19" t="n">
        <x:f>G17-Kandy!B20</x:f>
        <x:v>0</x:v>
      </x:c>
      <x:c r="C28" s="2" t="str">
        <x:v>Expected: ₹0.00</x:v>
      </x:c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4" t="str">
        <x:v>Separate repayments to Rushang</x:v>
      </x:c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>
      <x:c r="A32" s="9" t="str">
        <x:v>From</x:v>
      </x:c>
      <x:c r="B32" s="9" t="str">
        <x:v>To</x:v>
      </x:c>
      <x:c r="C32" s="9" t="str">
        <x:v>Repayment</x:v>
      </x:c>
      <x:c r="D32" s="9" t="str">
        <x:v>Status</x:v>
      </x:c>
    </x:row>
    <x:row r="33">
      <x:c r="A33" s="10" t="str">
        <x:f>Flights!A25</x:f>
        <x:v>Pankaj</x:v>
      </x:c>
      <x:c r="B33" s="17" t="str">
        <x:f>Flights!B25</x:f>
        <x:v>Rushang</x:v>
      </x:c>
      <x:c r="C33" s="17" t="n">
        <x:f>Flights!C25</x:f>
        <x:v>35500</x:v>
      </x:c>
      <x:c r="D33" s="17" t="str">
        <x:v>Not yet paid</x:v>
      </x:c>
    </x:row>
    <x:row r="34">
      <x:c r="A34" s="2" t="str">
        <x:f>Flights!A26</x:f>
        <x:v>Pranav</x:v>
      </x:c>
      <x:c r="B34" s="19" t="str">
        <x:f>Flights!B26</x:f>
        <x:v>Rushang</x:v>
      </x:c>
      <x:c r="C34" s="19" t="n">
        <x:f>Pranav!D13</x:f>
        <x:v>25691</x:v>
      </x:c>
      <x:c r="D34" s="19" t="str">
        <x:v>Not yet paid</x:v>
      </x:c>
    </x:row>
    <x:row r="35" ht="36" customHeight="1">
      <x:c r="A35" s="27" t="str">
        <x:v>Total</x:v>
      </x:c>
      <x:c r="B35" s="28" t="str">
        <x:v>Rushang</x:v>
      </x:c>
      <x:c r="C35" s="28" t="n">
        <x:f>SUM(C33:C34)</x:f>
        <x:v>61191</x:v>
      </x:c>
      <x:c r="D35" s="29" t="str">
        <x:v>Separate from group</x:v>
      </x:c>
    </x:row>
    <x:row r="37">
      <x:c r="A37" s="30" t="str">
        <x:v>Pranav separate debt = ₹21,500 flight + ₹4,191 personal Scapia. His shared purchases remain in the group balance.</x:v>
      </x:c>
      <x:c r="B37" s="30"/>
      <x:c r="C37" s="30"/>
      <x:c r="D37" s="30"/>
      <x:c r="E37" s="30"/>
      <x:c r="F37" s="30"/>
      <x:c r="G37" s="30"/>
      <x:c r="H37" s="30"/>
    </x:row>
    <x:row r="38">
      <x:c r="A38" s="30" t="str">
        <x:v>Both separate repayments remain payable. The ₹500 flight discrepancy remains outside trip costs.</x:v>
      </x:c>
      <x:c r="B38" s="30"/>
      <x:c r="C38" s="30"/>
      <x:c r="D38" s="30"/>
      <x:c r="E38" s="30"/>
      <x:c r="F38" s="30"/>
      <x:c r="G38" s="30"/>
      <x:c r="H38" s="30"/>
    </x:row>
    <x:row r="41">
      <x:c r="A41" s="43" t="str">
        <x:v>What the trip total includes</x:v>
      </x:c>
    </x:row>
    <x:row r="43" ht="29" customHeight="1">
      <x:c r="A43" s="46" t="str">
        <x:v>Expense category</x:v>
      </x:c>
      <x:c r="B43" s="46" t="str">
        <x:v>Amount (INR)</x:v>
      </x:c>
      <x:c r="C43" s="46" t="str">
        <x:v>Description</x:v>
      </x:c>
      <x:c r="D43" s="1"/>
      <x:c r="E43" s="1"/>
      <x:c r="F43" s="1"/>
      <x:c r="G43" s="1"/>
      <x:c r="H43" s="1"/>
    </x:row>
    <x:row r="44" ht="29" customHeight="1">
      <x:c r="A44" s="47" t="str">
        <x:v>Flights</x:v>
      </x:c>
      <x:c r="B44" s="50" t="n">
        <x:f>Flights!B14</x:f>
        <x:v>248500</x:v>
      </x:c>
      <x:c r="C44" s="47" t="str">
        <x:v>7 adult tickets at ₹35,500 each. Includes Pankaj and Pranav tickets funded partly / fully by Rushang.</x:v>
      </x:c>
      <x:c r="D44" s="47"/>
      <x:c r="E44" s="47"/>
      <x:c r="F44" s="47"/>
      <x:c r="G44" s="47"/>
      <x:c r="H44" s="47"/>
    </x:row>
    <x:row r="45" ht="29" customHeight="1">
      <x:c r="A45" s="1" t="str">
        <x:v>Villa stays</x:v>
      </x:c>
      <x:c r="B45" s="51" t="n">
        <x:f>SUM('Shared expenses'!D8:D11)+Kandy!B7</x:f>
        <x:v>93546</x:v>
      </x:c>
      <x:c r="C45" s="1" t="str">
        <x:v>Colombo ₹6,343; Mirissa ₹24,542; Nuwara ₹34,996; Kandy ₹17,500; Sigiriya + water ₹10,200.</x:v>
      </x:c>
      <x:c r="D45" s="1"/>
      <x:c r="E45" s="1"/>
      <x:c r="F45" s="1"/>
      <x:c r="G45" s="1"/>
      <x:c r="H45" s="1"/>
    </x:row>
    <x:row r="46" ht="29" customHeight="1">
      <x:c r="A46" s="47" t="str">
        <x:v>Food / breakfast</x:v>
      </x:c>
      <x:c r="B46" s="50" t="n">
        <x:f>'Shared expenses'!D7+'Shared expenses'!D14</x:f>
        <x:v>33388</x:v>
      </x:c>
      <x:c r="C46" s="47" t="str">
        <x:v>Surati food ₹31,388 paid by Jinal, plus breakfast ₹2,000 paid by Pranav. Shared by all 7 adults.</x:v>
      </x:c>
      <x:c r="D46" s="47"/>
      <x:c r="E46" s="47"/>
      <x:c r="F46" s="47"/>
      <x:c r="G46" s="47"/>
      <x:c r="H46" s="47"/>
    </x:row>
    <x:row r="47" ht="29" customHeight="1">
      <x:c r="A47" s="1" t="str">
        <x:v>Cabs</x:v>
      </x:c>
      <x:c r="B47" s="51" t="n">
        <x:f>SUM('Shared expenses'!D12:D13)+'Day-wise'!D31</x:f>
        <x:v>2059</x:v>
      </x:c>
      <x:c r="C47" s="1" t="str">
        <x:v>Airport cabs ₹885 for all 7, plus home cabs ₹1,174 shared by all except Pankaj.</x:v>
      </x:c>
      <x:c r="D47" s="1"/>
      <x:c r="E47" s="1"/>
      <x:c r="F47" s="1"/>
      <x:c r="G47" s="1"/>
      <x:c r="H47" s="1"/>
    </x:row>
    <x:row r="48" ht="29" customHeight="1">
      <x:c r="A48" s="92" t="str">
        <x:v>Scapia</x:v>
      </x:c>
      <x:c r="B48" s="93" t="n">
        <x:f>Scapia!E30</x:f>
        <x:v>54238</x:v>
      </x:c>
      <x:c r="C48" s="92" t="str">
        <x:v>21 INR card entries paid by Rushang: ₹50,047 group purchases + ₹4,191 Pranav-only purchases.</x:v>
      </x:c>
      <x:c r="D48" s="92"/>
      <x:c r="E48" s="92"/>
      <x:c r="F48" s="92"/>
      <x:c r="G48" s="92"/>
      <x:c r="H48" s="92"/>
    </x:row>
    <x:row r="49">
      <x:c r="A49" s="88" t="str">
        <x:v>Carry cash</x:v>
      </x:c>
      <x:c r="B49" s="89" t="n">
        <x:f>'Shared expenses'!D34</x:f>
        <x:v>105000</x:v>
      </x:c>
      <x:c r="C49" s="88" t="str">
        <x:v>₹15,000 per adult. Personal pool use reallocates this cost; common cash spend is not itemised.</x:v>
      </x:c>
      <x:c r="D49" s="88"/>
      <x:c r="E49" s="88"/>
      <x:c r="F49" s="88"/>
      <x:c r="G49" s="88"/>
      <x:c r="H49" s="88"/>
    </x:row>
    <x:row r="50">
      <x:c r="A50" s="94" t="str">
        <x:v>Trip expense total</x:v>
      </x:c>
      <x:c r="B50" s="95" t="n">
        <x:f>SUM(B44:B49)</x:f>
        <x:v>536731</x:v>
      </x:c>
      <x:c r="C50" s="94" t="str">
        <x:v>General expenses, carry cash and Scapia counted once. Separate personal repayments are not extra costs.</x:v>
      </x:c>
      <x:c r="D50" s="94"/>
      <x:c r="E50" s="94"/>
      <x:c r="F50" s="94"/>
      <x:c r="G50" s="94"/>
      <x:c r="H50" s="94"/>
    </x:row>
    <x:row r="51">
      <x:c r="A51" s="30" t="str">
        <x:v>Kandy villa total is ₹17,465 and matches all personal room allocations. No amount remains unassigned.</x:v>
      </x:c>
      <x:c r="B51" s="30"/>
      <x:c r="C51" s="30"/>
      <x:c r="D51" s="30"/>
      <x:c r="E51" s="30"/>
      <x:c r="F51" s="30"/>
      <x:c r="G51" s="30"/>
      <x:c r="H51" s="30"/>
    </x:row>
    <x:row r="53">
      <x:c r="A53" s="30" t="str">
        <x:v>Personal pooled spending: LKR 17,842 at the agreed ₹0.26/LKR = ₹4,638.92, already included in the carry cash total.</x:v>
      </x:c>
      <x:c r="B53" s="30"/>
      <x:c r="C53" s="30"/>
      <x:c r="D53" s="30"/>
      <x:c r="E53" s="30"/>
      <x:c r="F53" s="30"/>
      <x:c r="G53" s="30"/>
      <x:c r="H53" s="30"/>
    </x:row>
    <x:row r="54">
      <x:c r="A54" s="30" t="str">
        <x:v>Scapia card verification is pending. The unnamed ₹1,084 purchase, “Track” and both ₹114 toll entries are preserved as supplied.</x:v>
      </x:c>
      <x:c r="B54" s="30"/>
      <x:c r="C54" s="30"/>
      <x:c r="D54" s="30"/>
      <x:c r="E54" s="30"/>
      <x:c r="F54" s="30"/>
      <x:c r="G54" s="30"/>
      <x:c r="H54" s="30"/>
    </x:row>
    <x:row r="56" ht="28" customHeight="1">
      <x:c r="A56" s="113" t="str">
        <x:v>Missing item: Rushabh dollar-to-LKR conversion. Exact amounts and funding treatment are pending; excluded from totals.</x:v>
      </x:c>
      <x:c r="B56" s="113"/>
      <x:c r="C56" s="113"/>
      <x:c r="D56" s="113"/>
      <x:c r="E56" s="113"/>
      <x:c r="F56" s="113"/>
      <x:c r="G56" s="113"/>
      <x:c r="H56" s="113"/>
    </x:row>
  </x:sheetData>
  <x:conditionalFormatting sqref="G10:G16">
    <x:cfRule type="cellIs" dxfId="2" priority="2" operator="greaterThan">
      <x:formula>0</x:formula>
    </x:cfRule>
    <x:cfRule type="cellIs" dxfId="3" priority="3" operator="lessThan">
      <x:formula>0</x:formula>
    </x:cfRule>
  </x:conditionalFormatting>
  <x:conditionalFormatting sqref="B26:B26">
    <x:cfRule type="cellIs" dxfId="4" priority="4" operator="notEqual">
      <x:formula>0</x:formula>
    </x:cfRule>
  </x:conditionalFormatting>
  <x:conditionalFormatting sqref="B27:B27">
    <x:cfRule type="cellIs" dxfId="5" priority="5" operator="notEqual">
      <x:formula>0</x:formula>
    </x:cfRule>
  </x:conditionalFormatting>
  <x:conditionalFormatting sqref="B28:B28">
    <x:cfRule type="cellIs" dxfId="6" priority="6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953"/>
  </x:sheetPr>
  <x:sheetViews>
    <x:sheetView showGridLines="0" workbookViewId="0"/>
  </x:sheetViews>
  <x:sheetFormatPr defaultRowHeight="15"/>
  <x:cols>
    <x:col min="1" max="1" width="9" hidden="0" customWidth="1"/>
    <x:col min="2" max="2" width="35" hidden="0" customWidth="1"/>
    <x:col min="3" max="3" width="18" hidden="0" customWidth="1"/>
    <x:col min="4" max="4" width="20" hidden="0" customWidth="1"/>
    <x:col min="5" max="5" width="19" hidden="0" customWidth="1"/>
    <x:col min="6" max="6" width="49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Equal shared expenses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5" t="str">
        <x:v>Source: latest reset list in SRI LANKA FINAL HISAB (user-supplied). All amounts are INR.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9" customHeight="1">
      <x:c r="A6" s="9" t="str">
        <x:v>ID</x:v>
      </x:c>
      <x:c r="B6" s="9" t="str">
        <x:v>Expense / location</x:v>
      </x:c>
      <x:c r="C6" s="9" t="str">
        <x:v>Paid by</x:v>
      </x:c>
      <x:c r="D6" s="9" t="str">
        <x:v>Amount (INR)</x:v>
      </x:c>
      <x:c r="E6" s="9" t="str">
        <x:v>Per adult, exact</x:v>
      </x:c>
      <x:c r="F6" s="9" t="str">
        <x:v>Split basis</x:v>
      </x:c>
    </x:row>
    <x:row r="7" ht="25" customHeight="1">
      <x:c r="A7" s="10" t="str">
        <x:v>S01</x:v>
      </x:c>
      <x:c r="B7" s="10" t="str">
        <x:v>Surati food</x:v>
      </x:c>
      <x:c r="C7" s="10" t="str">
        <x:v>Jinal</x:v>
      </x:c>
      <x:c r="D7" s="16" t="n">
        <x:v>31388</x:v>
      </x:c>
      <x:c r="E7" s="17" t="n">
        <x:f>D7/COUNTA(Flights!$A$7:$A$13)</x:f>
        <x:v>4484</x:v>
      </x:c>
      <x:c r="F7" s="10" t="str">
        <x:v>Equal among all 7 adults</x:v>
      </x:c>
    </x:row>
    <x:row r="8" ht="25" customHeight="1">
      <x:c r="A8" s="2" t="str">
        <x:v>S02</x:v>
      </x:c>
      <x:c r="B8" s="2" t="str">
        <x:v>Colombo villa</x:v>
      </x:c>
      <x:c r="C8" s="2" t="str">
        <x:v>Rushang</x:v>
      </x:c>
      <x:c r="D8" s="18" t="n">
        <x:v>6343</x:v>
      </x:c>
      <x:c r="E8" s="19" t="n">
        <x:f>D8/COUNTA(Flights!$A$7:$A$13)</x:f>
        <x:v>906.1428571428571</x:v>
      </x:c>
      <x:c r="F8" s="2" t="str">
        <x:v>Equal among all 7 adults</x:v>
      </x:c>
    </x:row>
    <x:row r="9" ht="25" customHeight="1">
      <x:c r="A9" s="10" t="str">
        <x:v>S03</x:v>
      </x:c>
      <x:c r="B9" s="10" t="str">
        <x:v>Mirissa villa</x:v>
      </x:c>
      <x:c r="C9" s="10" t="str">
        <x:v>Pranav</x:v>
      </x:c>
      <x:c r="D9" s="16" t="n">
        <x:v>24542</x:v>
      </x:c>
      <x:c r="E9" s="17" t="n">
        <x:f>D9/COUNTA(Flights!$A$7:$A$13)</x:f>
        <x:v>3506</x:v>
      </x:c>
      <x:c r="F9" s="10" t="str">
        <x:v>Equal among all 7 adults</x:v>
      </x:c>
    </x:row>
    <x:row r="10" ht="25" customHeight="1">
      <x:c r="A10" s="2" t="str">
        <x:v>S04</x:v>
      </x:c>
      <x:c r="B10" s="2" t="str">
        <x:v>Nuwara villa</x:v>
      </x:c>
      <x:c r="C10" s="2" t="str">
        <x:v>Pankaj</x:v>
      </x:c>
      <x:c r="D10" s="18" t="n">
        <x:v>34996</x:v>
      </x:c>
      <x:c r="E10" s="19" t="n">
        <x:f>D10/COUNTA(Flights!$A$7:$A$13)</x:f>
        <x:v>4999.428571428572</x:v>
      </x:c>
      <x:c r="F10" s="2" t="str">
        <x:v>Equal among all 7 adults</x:v>
      </x:c>
    </x:row>
    <x:row r="11" ht="25" customHeight="1">
      <x:c r="A11" s="10" t="str">
        <x:v>S05</x:v>
      </x:c>
      <x:c r="B11" s="10" t="str">
        <x:v>Sigiriya villa + water bottles</x:v>
      </x:c>
      <x:c r="C11" s="10" t="str">
        <x:v>Rushang</x:v>
      </x:c>
      <x:c r="D11" s="16" t="n">
        <x:v>10200</x:v>
      </x:c>
      <x:c r="E11" s="17" t="n">
        <x:f>D11/COUNTA(Flights!$A$7:$A$13)</x:f>
        <x:v>1457.142857142857</x:v>
      </x:c>
      <x:c r="F11" s="10" t="str">
        <x:v>Equal among all 7 adults</x:v>
      </x:c>
    </x:row>
    <x:row r="12" ht="25" customHeight="1">
      <x:c r="A12" s="2" t="str">
        <x:v>S06</x:v>
      </x:c>
      <x:c r="B12" s="2" t="str">
        <x:v>Ahmedabad airport cab</x:v>
      </x:c>
      <x:c r="C12" s="2" t="str">
        <x:v>Pranav</x:v>
      </x:c>
      <x:c r="D12" s="18" t="n">
        <x:v>520</x:v>
      </x:c>
      <x:c r="E12" s="19" t="n">
        <x:f>D12/COUNTA(Flights!$A$7:$A$13)</x:f>
        <x:v>74.28571428571429</x:v>
      </x:c>
      <x:c r="F12" s="2" t="str">
        <x:v>Equal among all 7 adults</x:v>
      </x:c>
    </x:row>
    <x:row r="13" ht="25" customHeight="1">
      <x:c r="A13" s="10" t="str">
        <x:v>S07</x:v>
      </x:c>
      <x:c r="B13" s="10" t="str">
        <x:v>Additional airport cab</x:v>
      </x:c>
      <x:c r="C13" s="10" t="str">
        <x:v>Rushang</x:v>
      </x:c>
      <x:c r="D13" s="16" t="n">
        <x:v>365</x:v>
      </x:c>
      <x:c r="E13" s="17" t="n">
        <x:f>D13/COUNTA(Flights!$A$7:$A$13)</x:f>
        <x:v>52.142857142857146</x:v>
      </x:c>
      <x:c r="F13" s="10" t="str">
        <x:v>Equal among all 7 adults</x:v>
      </x:c>
    </x:row>
    <x:row r="14" ht="25" customHeight="1">
      <x:c r="A14" s="2" t="str">
        <x:v>S08</x:v>
      </x:c>
      <x:c r="B14" s="2" t="str">
        <x:v>Breakfast</x:v>
      </x:c>
      <x:c r="C14" s="2" t="str">
        <x:v>Pranav</x:v>
      </x:c>
      <x:c r="D14" s="18" t="n">
        <x:v>2000</x:v>
      </x:c>
      <x:c r="E14" s="19" t="n">
        <x:f>D14/COUNTA(Flights!$A$7:$A$13)</x:f>
        <x:v>285.7142857142857</x:v>
      </x:c>
      <x:c r="F14" s="2" t="str">
        <x:v>Equal among all 7 adults</x:v>
      </x:c>
    </x:row>
    <x:row r="15" ht="29" customHeight="1">
      <x:c r="A15" s="13"/>
      <x:c r="B15" s="13" t="str">
        <x:v>Total equal shared costs</x:v>
      </x:c>
      <x:c r="C15" s="13"/>
      <x:c r="D15" s="20" t="n">
        <x:f>SUM(D7:D14)</x:f>
        <x:v>110354</x:v>
      </x:c>
      <x:c r="E15" s="20" t="n">
        <x:f>SUM(E7:E14)</x:f>
        <x:v>15764.857142857141</x:v>
      </x:c>
      <x:c r="F15" s="13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5" t="str">
        <x:v>Per-adult detail is shown to 2 decimals; underlying values retain full precision.</x:v>
      </x:c>
      <x:c r="B18" s="2"/>
      <x:c r="C18" s="2"/>
      <x:c r="D18" s="2"/>
      <x:c r="E18" s="2"/>
      <x:c r="F18" s="2"/>
    </x:row>
    <x:row r="19" ht="25" customHeight="1">
      <x:c r="A19" s="5" t="str">
        <x:v>Balances split the combined pool to paise. Jinal absorbs the ₹0.02 rounding remainder.</x:v>
      </x:c>
      <x:c r="B19" s="2"/>
      <x:c r="C19" s="2"/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5" t="str">
        <x:v>Airfare and Kandy are on their own sheets and are excluded from this equal shared pool.</x:v>
      </x:c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53" t="str">
        <x:v>Carry cash USD to LKR</x:v>
      </x:c>
      <x:c r="B24" s="2"/>
      <x:c r="C24" s="2"/>
      <x:c r="D24" s="2"/>
      <x:c r="E24" s="2"/>
      <x:c r="F24" s="2"/>
    </x:row>
    <x:row r="25" ht="25" customHeight="1">
      <x:c r="A25" s="2"/>
      <x:c r="B25" s="2"/>
      <x:c r="C25" s="2"/>
      <x:c r="D25" s="2"/>
      <x:c r="E25" s="2"/>
      <x:c r="F25" s="2"/>
    </x:row>
    <x:row r="26">
      <x:c r="A26" s="9" t="str">
        <x:v>ID</x:v>
      </x:c>
      <x:c r="B26" s="9" t="str">
        <x:v>Expense description</x:v>
      </x:c>
      <x:c r="C26" s="9" t="str">
        <x:v>Paid by</x:v>
      </x:c>
      <x:c r="D26" s="9" t="str">
        <x:v>Amount (INR)</x:v>
      </x:c>
      <x:c r="E26" s="9" t="str">
        <x:v>Personal share</x:v>
      </x:c>
      <x:c r="F26" s="9" t="str">
        <x:v>Split basis</x:v>
      </x:c>
    </x:row>
    <x:row r="27" ht="25" customHeight="1">
      <x:c r="A27" s="54" t="str">
        <x:v>C01</x:v>
      </x:c>
      <x:c r="B27" s="54" t="str">
        <x:v>Carry cash USD to LKR</x:v>
      </x:c>
      <x:c r="C27" s="54" t="str">
        <x:v>Rushang</x:v>
      </x:c>
      <x:c r="D27" s="57" t="n">
        <x:v>15000</x:v>
      </x:c>
      <x:c r="E27" s="58" t="n">
        <x:f>D27</x:f>
        <x:v>15000</x:v>
      </x:c>
      <x:c r="F27" s="54" t="str">
        <x:v>Self paid; allocated to same person</x:v>
      </x:c>
    </x:row>
    <x:row r="28" ht="25" customHeight="1">
      <x:c r="A28" s="1" t="str">
        <x:v>C02</x:v>
      </x:c>
      <x:c r="B28" s="1" t="str">
        <x:v>Carry cash USD to LKR</x:v>
      </x:c>
      <x:c r="C28" s="1" t="str">
        <x:v>Rushabh</x:v>
      </x:c>
      <x:c r="D28" s="41" t="n">
        <x:v>15000</x:v>
      </x:c>
      <x:c r="E28" s="51" t="n">
        <x:f>D28</x:f>
        <x:v>15000</x:v>
      </x:c>
      <x:c r="F28" s="1" t="str">
        <x:v>Self paid; allocated to same person</x:v>
      </x:c>
    </x:row>
    <x:row r="29" ht="25" customHeight="1">
      <x:c r="A29" s="54" t="str">
        <x:v>C03</x:v>
      </x:c>
      <x:c r="B29" s="54" t="str">
        <x:v>Carry cash USD to LKR</x:v>
      </x:c>
      <x:c r="C29" s="54" t="str">
        <x:v>Bhoomi</x:v>
      </x:c>
      <x:c r="D29" s="57" t="n">
        <x:v>15000</x:v>
      </x:c>
      <x:c r="E29" s="58" t="n">
        <x:f>D29</x:f>
        <x:v>15000</x:v>
      </x:c>
      <x:c r="F29" s="54" t="str">
        <x:v>Self paid; allocated to same person</x:v>
      </x:c>
    </x:row>
    <x:row r="30" ht="25" customHeight="1">
      <x:c r="A30" s="1" t="str">
        <x:v>C04</x:v>
      </x:c>
      <x:c r="B30" s="1" t="str">
        <x:v>Carry cash USD to LKR</x:v>
      </x:c>
      <x:c r="C30" s="1" t="str">
        <x:v>Pranav</x:v>
      </x:c>
      <x:c r="D30" s="41" t="n">
        <x:v>15000</x:v>
      </x:c>
      <x:c r="E30" s="51" t="n">
        <x:f>D30</x:f>
        <x:v>15000</x:v>
      </x:c>
      <x:c r="F30" s="1" t="str">
        <x:v>Self paid; allocated to same person</x:v>
      </x:c>
    </x:row>
    <x:row r="31" ht="25" customHeight="1">
      <x:c r="A31" s="54" t="str">
        <x:v>C05</x:v>
      </x:c>
      <x:c r="B31" s="54" t="str">
        <x:v>Carry cash USD to LKR</x:v>
      </x:c>
      <x:c r="C31" s="54" t="str">
        <x:v>Divya</x:v>
      </x:c>
      <x:c r="D31" s="57" t="n">
        <x:v>15000</x:v>
      </x:c>
      <x:c r="E31" s="58" t="n">
        <x:f>D31</x:f>
        <x:v>15000</x:v>
      </x:c>
      <x:c r="F31" s="54" t="str">
        <x:v>Self paid; allocated to same person</x:v>
      </x:c>
    </x:row>
    <x:row r="32" ht="25" customHeight="1">
      <x:c r="A32" s="1" t="str">
        <x:v>C06</x:v>
      </x:c>
      <x:c r="B32" s="1" t="str">
        <x:v>Carry cash USD to LKR</x:v>
      </x:c>
      <x:c r="C32" s="1" t="str">
        <x:v>Pankaj</x:v>
      </x:c>
      <x:c r="D32" s="41" t="n">
        <x:v>15000</x:v>
      </x:c>
      <x:c r="E32" s="51" t="n">
        <x:f>D32</x:f>
        <x:v>15000</x:v>
      </x:c>
      <x:c r="F32" s="1" t="str">
        <x:v>Self paid; allocated to same person</x:v>
      </x:c>
    </x:row>
    <x:row r="33" ht="25" customHeight="1">
      <x:c r="A33" s="54" t="str">
        <x:v>C07</x:v>
      </x:c>
      <x:c r="B33" s="54" t="str">
        <x:v>Carry cash USD to LKR</x:v>
      </x:c>
      <x:c r="C33" s="54" t="str">
        <x:v>Jinal</x:v>
      </x:c>
      <x:c r="D33" s="57" t="n">
        <x:v>15000</x:v>
      </x:c>
      <x:c r="E33" s="58" t="n">
        <x:f>D33</x:f>
        <x:v>15000</x:v>
      </x:c>
      <x:c r="F33" s="54" t="str">
        <x:v>Self paid; allocated to same person</x:v>
      </x:c>
    </x:row>
    <x:row r="34" ht="25" customHeight="1">
      <x:c r="A34" s="61"/>
      <x:c r="B34" s="61" t="str">
        <x:v>Total carry cash</x:v>
      </x:c>
      <x:c r="C34" s="61"/>
      <x:c r="D34" s="62" t="n">
        <x:f>SUM(D27:D33)</x:f>
        <x:v>105000</x:v>
      </x:c>
      <x:c r="E34" s="62" t="n">
        <x:f>SUM(E27:E33)</x:f>
        <x:v>105000</x:v>
      </x:c>
      <x:c r="F34" s="61"/>
    </x:row>
    <x:row r="36">
      <x:c r="A36" s="30" t="str">
        <x:v>₹15,000 per adult remains included. Personal pool usage is converted separately at the user-agreed ₹0.26 per LKR.</x:v>
      </x:c>
      <x:c r="B36" s="30"/>
      <x:c r="C36" s="30"/>
      <x:c r="D36" s="30"/>
      <x:c r="E36" s="30"/>
      <x:c r="F36" s="30"/>
    </x:row>
    <x:row r="37">
      <x:c r="A37" s="30" t="str">
        <x:v>Personal cash usage adjusts the per-person allocation on Pool personal; the total carry cash cost stays ₹1,05,000.</x:v>
      </x:c>
      <x:c r="B37" s="30"/>
      <x:c r="C37" s="30"/>
      <x:c r="D37" s="30"/>
      <x:c r="E37" s="30"/>
      <x:c r="F37" s="30"/>
    </x:row>
    <x:row r="38">
      <x:c r="A38" s="30" t="str">
        <x:v>Common pooled purchases are not itemised. Personal pooled entries are not counted again as new expenses.</x:v>
      </x:c>
      <x:c r="B38" s="30"/>
      <x:c r="C38" s="30"/>
      <x:c r="D38" s="30"/>
      <x:c r="E38" s="30"/>
      <x:c r="F38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953"/>
  </x:sheetPr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3" hidden="0" customWidth="1"/>
    <x:col min="5" max="5" width="22" hidden="0" customWidth="1"/>
    <x:col min="6" max="6" width="18" hidden="0" customWidth="1"/>
    <x:col min="7" max="7" width="4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Flight payments</x:v>
      </x:c>
      <x:c r="B2" s="2"/>
      <x:c r="C2" s="2"/>
      <x:c r="D2" s="2"/>
      <x:c r="E2" s="2"/>
      <x:c r="F2" s="2"/>
      <x:c r="G2" s="2"/>
    </x:row>
    <x:row r="3" ht="25" customHeight="1">
      <x:c r="A3" s="4"/>
      <x:c r="B3" s="4"/>
      <x:c r="C3" s="4"/>
      <x:c r="D3" s="4"/>
      <x:c r="E3" s="4"/>
      <x:c r="F3" s="4"/>
      <x:c r="G3" s="4"/>
    </x:row>
    <x:row r="4" ht="25" customHeight="1">
      <x:c r="A4" s="5" t="str">
        <x:v>Source: latest reset list and later instruction to settle ₹35,500 / ₹21,500 separately with Rushang.</x:v>
      </x:c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39" customHeight="1">
      <x:c r="A6" s="9" t="str">
        <x:v>Passenger</x:v>
      </x:c>
      <x:c r="B6" s="9" t="str">
        <x:v>Ticket cost</x:v>
      </x:c>
      <x:c r="C6" s="9" t="str">
        <x:v>Paid by self</x:v>
      </x:c>
      <x:c r="D6" s="9" t="str">
        <x:v>Rushang ticket funding</x:v>
      </x:c>
      <x:c r="E6" s="9" t="str">
        <x:v>Total funded</x:v>
      </x:c>
      <x:c r="F6" s="9" t="str">
        <x:v>Unfunded</x:v>
      </x:c>
      <x:c r="G6" s="9" t="str">
        <x:v>Payment detail</x:v>
      </x:c>
    </x:row>
    <x:row r="7" ht="25" customHeight="1">
      <x:c r="A7" s="10" t="str">
        <x:v>Rushang</x:v>
      </x:c>
      <x:c r="B7" s="16" t="n">
        <x:v>35500</x:v>
      </x:c>
      <x:c r="C7" s="16" t="n">
        <x:v>35500</x:v>
      </x:c>
      <x:c r="D7" s="17" t="n">
        <x:f>B7-C7</x:f>
        <x:v>0</x:v>
      </x:c>
      <x:c r="E7" s="17" t="n">
        <x:f>SUM(C7:D7)</x:f>
        <x:v>35500</x:v>
      </x:c>
      <x:c r="F7" s="17" t="n">
        <x:f>B7-E7</x:f>
        <x:v>0</x:v>
      </x:c>
      <x:c r="G7" s="10" t="str">
        <x:v>Self paid</x:v>
      </x:c>
    </x:row>
    <x:row r="8" ht="25" customHeight="1">
      <x:c r="A8" s="2" t="str">
        <x:v>Rushabh</x:v>
      </x:c>
      <x:c r="B8" s="18" t="n">
        <x:v>35500</x:v>
      </x:c>
      <x:c r="C8" s="18" t="n">
        <x:v>35500</x:v>
      </x:c>
      <x:c r="D8" s="19" t="n">
        <x:f>B8-C8</x:f>
        <x:v>0</x:v>
      </x:c>
      <x:c r="E8" s="19" t="n">
        <x:f>SUM(C8:D8)</x:f>
        <x:v>35500</x:v>
      </x:c>
      <x:c r="F8" s="19" t="n">
        <x:f>B8-E8</x:f>
        <x:v>0</x:v>
      </x:c>
      <x:c r="G8" s="2" t="str">
        <x:v>Self paid</x:v>
      </x:c>
    </x:row>
    <x:row r="9" ht="25" customHeight="1">
      <x:c r="A9" s="10" t="str">
        <x:v>Bhoomi</x:v>
      </x:c>
      <x:c r="B9" s="16" t="n">
        <x:v>35500</x:v>
      </x:c>
      <x:c r="C9" s="16" t="n">
        <x:v>35500</x:v>
      </x:c>
      <x:c r="D9" s="17" t="n">
        <x:f>B9-C9</x:f>
        <x:v>0</x:v>
      </x:c>
      <x:c r="E9" s="17" t="n">
        <x:f>SUM(C9:D9)</x:f>
        <x:v>35500</x:v>
      </x:c>
      <x:c r="F9" s="17" t="n">
        <x:f>B9-E9</x:f>
        <x:v>0</x:v>
      </x:c>
      <x:c r="G9" s="10" t="str">
        <x:v>Self paid</x:v>
      </x:c>
    </x:row>
    <x:row r="10" ht="25" customHeight="1">
      <x:c r="A10" s="2" t="str">
        <x:v>Pranav</x:v>
      </x:c>
      <x:c r="B10" s="18" t="n">
        <x:v>35500</x:v>
      </x:c>
      <x:c r="C10" s="18" t="n">
        <x:v>14500</x:v>
      </x:c>
      <x:c r="D10" s="19" t="n">
        <x:f>B10-C10</x:f>
        <x:v>21000</x:v>
      </x:c>
      <x:c r="E10" s="19" t="n">
        <x:f>SUM(C10:D10)</x:f>
        <x:v>35500</x:v>
      </x:c>
      <x:c r="F10" s="19" t="n">
        <x:f>B10-E10</x:f>
        <x:v>0</x:v>
      </x:c>
      <x:c r="G10" s="2" t="str">
        <x:v>₹14,500 self + remainder by Rushang</x:v>
      </x:c>
    </x:row>
    <x:row r="11" ht="25" customHeight="1">
      <x:c r="A11" s="10" t="str">
        <x:v>Divya</x:v>
      </x:c>
      <x:c r="B11" s="16" t="n">
        <x:v>35500</x:v>
      </x:c>
      <x:c r="C11" s="16" t="n">
        <x:v>35500</x:v>
      </x:c>
      <x:c r="D11" s="17" t="n">
        <x:f>B11-C11</x:f>
        <x:v>0</x:v>
      </x:c>
      <x:c r="E11" s="17" t="n">
        <x:f>SUM(C11:D11)</x:f>
        <x:v>35500</x:v>
      </x:c>
      <x:c r="F11" s="17" t="n">
        <x:f>B11-E11</x:f>
        <x:v>0</x:v>
      </x:c>
      <x:c r="G11" s="10" t="str">
        <x:v>Self paid</x:v>
      </x:c>
    </x:row>
    <x:row r="12" ht="25" customHeight="1">
      <x:c r="A12" s="2" t="str">
        <x:v>Pankaj</x:v>
      </x:c>
      <x:c r="B12" s="18" t="n">
        <x:v>35500</x:v>
      </x:c>
      <x:c r="C12" s="18" t="n">
        <x:v>0</x:v>
      </x:c>
      <x:c r="D12" s="19" t="n">
        <x:f>B12-C12</x:f>
        <x:v>35500</x:v>
      </x:c>
      <x:c r="E12" s="19" t="n">
        <x:f>SUM(C12:D12)</x:f>
        <x:v>35500</x:v>
      </x:c>
      <x:c r="F12" s="19" t="n">
        <x:f>B12-E12</x:f>
        <x:v>0</x:v>
      </x:c>
      <x:c r="G12" s="2" t="str">
        <x:v>Entire ticket paid by Rushang</x:v>
      </x:c>
    </x:row>
    <x:row r="13" ht="25" customHeight="1">
      <x:c r="A13" s="10" t="str">
        <x:v>Jinal</x:v>
      </x:c>
      <x:c r="B13" s="16" t="n">
        <x:v>35500</x:v>
      </x:c>
      <x:c r="C13" s="16" t="n">
        <x:v>35500</x:v>
      </x:c>
      <x:c r="D13" s="17" t="n">
        <x:f>B13-C13</x:f>
        <x:v>0</x:v>
      </x:c>
      <x:c r="E13" s="17" t="n">
        <x:f>SUM(C13:D13)</x:f>
        <x:v>35500</x:v>
      </x:c>
      <x:c r="F13" s="17" t="n">
        <x:f>B13-E13</x:f>
        <x:v>0</x:v>
      </x:c>
      <x:c r="G13" s="10" t="str">
        <x:v>Self paid</x:v>
      </x:c>
    </x:row>
    <x:row r="14" ht="29" customHeight="1">
      <x:c r="A14" s="13" t="str">
        <x:v>Total</x:v>
      </x:c>
      <x:c r="B14" s="20" t="n">
        <x:f>SUM(B7:B13)</x:f>
        <x:v>248500</x:v>
      </x:c>
      <x:c r="C14" s="20" t="n">
        <x:f>SUM(C7:C13)</x:f>
        <x:v>192000</x:v>
      </x:c>
      <x:c r="D14" s="20" t="n">
        <x:f>SUM(D7:D13)</x:f>
        <x:v>56500</x:v>
      </x:c>
      <x:c r="E14" s="20" t="n">
        <x:f>SUM(E7:E13)</x:f>
        <x:v>248500</x:v>
      </x:c>
      <x:c r="F14" s="20" t="n">
        <x:f>SUM(F7:F13)</x:f>
        <x:v>0</x:v>
      </x:c>
      <x:c r="G14" s="13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/>
      <x:c r="B16" s="2"/>
      <x:c r="C16" s="2"/>
      <x:c r="D16" s="2"/>
      <x:c r="E16" s="2"/>
      <x:c r="F16" s="2"/>
      <x:c r="G16" s="2"/>
    </x:row>
    <x:row r="17" ht="25" customHeight="1">
      <x:c r="A17" s="5" t="str">
        <x:v>Rushang’s own ticket is self paid. His funding of Pankaj and Pranav is settled separately below.</x:v>
      </x:c>
      <x:c r="B17" s="2"/>
      <x:c r="C17" s="2"/>
      <x:c r="D17" s="2"/>
      <x:c r="E17" s="2"/>
      <x:c r="F17" s="2"/>
      <x:c r="G17" s="2"/>
    </x:row>
    <x:row r="18" ht="25" customHeight="1">
      <x:c r="A18" s="5" t="str">
        <x:v>Group balances assign ticket funding to the passenger, so these personal debts are not included twice.</x:v>
      </x:c>
      <x:c r="B18" s="2"/>
      <x:c r="C18" s="2"/>
      <x:c r="D18" s="2"/>
      <x:c r="E18" s="2"/>
      <x:c r="F18" s="2"/>
      <x:c r="G18" s="2"/>
    </x:row>
    <x:row r="19" ht="25" customHeight="1">
      <x:c r="A19" s="2"/>
      <x:c r="B19" s="2"/>
      <x:c r="C19" s="2"/>
      <x:c r="D19" s="2"/>
      <x:c r="E19" s="2"/>
      <x:c r="F19" s="2"/>
      <x:c r="G19" s="2"/>
    </x:row>
    <x:row r="20" ht="25" customHeight="1">
      <x:c r="A20" s="5" t="str">
        <x:v>Pranav: ₹14,500 self paid + ₹21,500 advanced = ₹36,000, which exceeds his ticket cost by ₹500.</x:v>
      </x:c>
      <x:c r="B20" s="2"/>
      <x:c r="C20" s="2"/>
      <x:c r="D20" s="2"/>
      <x:c r="E20" s="2"/>
      <x:c r="F20" s="2"/>
      <x:c r="G20" s="2"/>
    </x:row>
    <x:row r="21" ht="25" customHeight="1">
      <x:c r="A21" s="2"/>
      <x:c r="B21" s="2"/>
      <x:c r="C21" s="2"/>
      <x:c r="D21" s="2"/>
      <x:c r="E21" s="2"/>
      <x:c r="F21" s="2"/>
      <x:c r="G21" s="2"/>
    </x:row>
    <x:row r="22" ht="25" customHeight="1">
      <x:c r="A22" s="24" t="str">
        <x:v>Separate personal flight repayments</x:v>
      </x:c>
      <x:c r="B22" s="2"/>
      <x:c r="C22" s="2"/>
      <x:c r="D22" s="2"/>
      <x:c r="E22" s="2"/>
      <x:c r="F22" s="2"/>
      <x:c r="G22" s="2"/>
    </x:row>
    <x:row r="23" ht="25" customHeight="1">
      <x:c r="A23" s="2"/>
      <x:c r="B23" s="2"/>
      <x:c r="C23" s="2"/>
      <x:c r="D23" s="2"/>
      <x:c r="E23" s="2"/>
      <x:c r="F23" s="2"/>
      <x:c r="G23" s="2"/>
    </x:row>
    <x:row r="24" ht="25" customHeight="1">
      <x:c r="A24" s="9" t="str">
        <x:v>From</x:v>
      </x:c>
      <x:c r="B24" s="9" t="str">
        <x:v>To</x:v>
      </x:c>
      <x:c r="C24" s="9" t="str">
        <x:v>Repayment agreed</x:v>
      </x:c>
      <x:c r="D24" s="9" t="str">
        <x:v>Ticket portion</x:v>
      </x:c>
      <x:c r="E24" s="9" t="str">
        <x:v>Outside trip costs</x:v>
      </x:c>
      <x:c r="F24" s="9" t="str">
        <x:v>Status</x:v>
      </x:c>
      <x:c r="G24" s="2"/>
    </x:row>
    <x:row r="25" ht="25" customHeight="1">
      <x:c r="A25" s="34" t="str">
        <x:v>Pankaj</x:v>
      </x:c>
      <x:c r="B25" s="34" t="str">
        <x:v>Rushang</x:v>
      </x:c>
      <x:c r="C25" s="40" t="n">
        <x:v>35500</x:v>
      </x:c>
      <x:c r="D25" s="37" t="n">
        <x:f>D12</x:f>
        <x:v>35500</x:v>
      </x:c>
      <x:c r="E25" s="37" t="n">
        <x:f>C25-D25</x:f>
        <x:v>0</x:v>
      </x:c>
      <x:c r="F25" s="34" t="str">
        <x:v>Not yet paid</x:v>
      </x:c>
    </x:row>
    <x:row r="26" ht="25" customHeight="1">
      <x:c r="A26" s="35" t="str">
        <x:v>Pranav</x:v>
      </x:c>
      <x:c r="B26" s="35" t="str">
        <x:v>Rushang</x:v>
      </x:c>
      <x:c r="C26" s="41" t="n">
        <x:v>21500</x:v>
      </x:c>
      <x:c r="D26" s="38" t="n">
        <x:f>D10</x:f>
        <x:v>21000</x:v>
      </x:c>
      <x:c r="E26" s="38" t="n">
        <x:f>C26-D26</x:f>
        <x:v>500</x:v>
      </x:c>
      <x:c r="F26" s="35" t="str">
        <x:v>Not yet paid</x:v>
      </x:c>
    </x:row>
    <x:row r="27" ht="25" customHeight="1">
      <x:c r="A27" s="36" t="str">
        <x:v>Total</x:v>
      </x:c>
      <x:c r="B27" s="36"/>
      <x:c r="C27" s="39" t="n">
        <x:f>SUM(C25:C26)</x:f>
        <x:v>57000</x:v>
      </x:c>
      <x:c r="D27" s="39" t="n">
        <x:f>SUM(D25:D26)</x:f>
        <x:v>56500</x:v>
      </x:c>
      <x:c r="E27" s="39" t="n">
        <x:f>SUM(E25:E26)</x:f>
        <x:v>500</x:v>
      </x:c>
      <x:c r="F27" s="36"/>
    </x:row>
    <x:row r="29">
      <x:c r="A29" s="30" t="str">
        <x:v>₹500 difference: retained in the instructed personal repayment; excluded from airfare and shared expenses.</x:v>
      </x:c>
      <x:c r="B29" s="30"/>
      <x:c r="C29" s="30"/>
      <x:c r="D29" s="30"/>
      <x:c r="E29" s="30"/>
      <x:c r="F29" s="30"/>
      <x:c r="G29" s="30"/>
    </x:row>
    <x:row r="30">
      <x:c r="A30" s="30" t="str">
        <x:v>Confirm the ₹500 purpose or correct the earlier ₹14,500 self-payment if needed.</x:v>
      </x:c>
      <x:c r="B30" s="30"/>
      <x:c r="C30" s="30"/>
      <x:c r="D30" s="30"/>
      <x:c r="E30" s="30"/>
      <x:c r="F30" s="30"/>
      <x:c r="G30" s="30"/>
    </x:row>
  </x:sheetData>
  <x:conditionalFormatting sqref="E25:E26">
    <x:cfRule type="cellIs" dxfId="7" priority="1" operator="not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953"/>
  </x:sheetPr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3" hidden="0" customWidth="1"/>
    <x:col min="5" max="5" width="70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Kandy personal allocation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5" t="str">
        <x:v>Source: latest reset list. Room upgrades use personal allocations, rather than an equal split.</x:v>
      </x:c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25" customHeight="1">
      <x:c r="A6" s="2" t="str">
        <x:v>Paid by</x:v>
      </x:c>
      <x:c r="B6" s="2" t="str">
        <x:v>Rushang</x:v>
      </x:c>
      <x:c r="C6" s="2"/>
      <x:c r="D6" s="2"/>
      <x:c r="E6" s="2"/>
    </x:row>
    <x:row r="7" ht="25" customHeight="1">
      <x:c r="A7" s="2" t="str">
        <x:v>Villa payment</x:v>
      </x:c>
      <x:c r="B7" s="18" t="n">
        <x:v>17465</x:v>
      </x:c>
      <x:c r="C7" s="2"/>
      <x:c r="D7" s="2"/>
      <x:c r="E7" s="2"/>
    </x:row>
    <x:row r="8" ht="25" customHeight="1">
      <x:c r="A8" s="2"/>
      <x:c r="B8" s="2"/>
      <x:c r="C8" s="2"/>
      <x:c r="D8" s="2"/>
      <x:c r="E8" s="2"/>
    </x:row>
    <x:row r="9" ht="25" customHeight="1">
      <x:c r="A9" s="2"/>
      <x:c r="B9" s="2"/>
      <x:c r="C9" s="2"/>
      <x:c r="D9" s="2"/>
      <x:c r="E9" s="2"/>
    </x:row>
    <x:row r="10" ht="39" customHeight="1">
      <x:c r="A10" s="9" t="str">
        <x:v>Adult</x:v>
      </x:c>
      <x:c r="B10" s="9" t="str">
        <x:v>Stated allocation</x:v>
      </x:c>
      <x:c r="C10" s="9" t="str">
        <x:v>Interpretation</x:v>
      </x:c>
      <x:c r="D10" s="2"/>
      <x:c r="E10" s="2"/>
    </x:row>
    <x:row r="11" ht="25" customHeight="1">
      <x:c r="A11" s="10" t="str">
        <x:v>Rushang</x:v>
      </x:c>
      <x:c r="B11" s="16" t="n">
        <x:v>2860</x:v>
      </x:c>
      <x:c r="C11" s="10" t="str">
        <x:v>As stated</x:v>
      </x:c>
      <x:c r="D11" s="2"/>
      <x:c r="E11" s="21" t="str">
        <x:v>Allocation confirmation</x:v>
      </x:c>
    </x:row>
    <x:row r="12" ht="25" customHeight="1">
      <x:c r="A12" s="2" t="str">
        <x:v>Rushabh</x:v>
      </x:c>
      <x:c r="B12" s="18" t="n">
        <x:v>3017</x:v>
      </x:c>
      <x:c r="C12" s="2" t="str">
        <x:v>As stated</x:v>
      </x:c>
      <x:c r="D12" s="2"/>
      <x:c r="E12" s="2" t="str">
        <x:v>The villa total and stated allocations both equal ₹17,465.</x:v>
      </x:c>
    </x:row>
    <x:row r="13" ht="25" customHeight="1">
      <x:c r="A13" s="10" t="str">
        <x:v>Bhoomi</x:v>
      </x:c>
      <x:c r="B13" s="16" t="n">
        <x:v>3017</x:v>
      </x:c>
      <x:c r="C13" s="10" t="str">
        <x:v>As stated</x:v>
      </x:c>
      <x:c r="D13" s="2"/>
      <x:c r="E13" s="2" t="str">
        <x:v>No Kandy amount remains unassigned.</x:v>
      </x:c>
    </x:row>
    <x:row r="14" ht="25" customHeight="1">
      <x:c r="A14" s="2" t="str">
        <x:v>Pranav</x:v>
      </x:c>
      <x:c r="B14" s="18" t="n">
        <x:v>2168</x:v>
      </x:c>
      <x:c r="C14" s="2" t="str">
        <x:v>₹2,168 each</x:v>
      </x:c>
      <x:c r="D14" s="2"/>
      <x:c r="E14" s="2"/>
    </x:row>
    <x:row r="15" ht="25" customHeight="1">
      <x:c r="A15" s="10" t="str">
        <x:v>Divya</x:v>
      </x:c>
      <x:c r="B15" s="16" t="n">
        <x:v>2168</x:v>
      </x:c>
      <x:c r="C15" s="10" t="str">
        <x:v>₹2,168 each</x:v>
      </x:c>
      <x:c r="D15" s="2"/>
      <x:c r="E15" s="2" t="str">
        <x:v>“Pranav Divya 2168” is interpreted as ₹2,168 per person.</x:v>
      </x:c>
    </x:row>
    <x:row r="16" ht="25" customHeight="1">
      <x:c r="A16" s="2" t="str">
        <x:v>Pankaj</x:v>
      </x:c>
      <x:c r="B16" s="18" t="n">
        <x:v>1375</x:v>
      </x:c>
      <x:c r="C16" s="2" t="str">
        <x:v>As stated</x:v>
      </x:c>
      <x:c r="D16" s="2"/>
      <x:c r="E16" s="2" t="str">
        <x:v>Personal allocations are preserved for all seven adults.</x:v>
      </x:c>
    </x:row>
    <x:row r="17" ht="25" customHeight="1">
      <x:c r="A17" s="10" t="str">
        <x:v>Jinal</x:v>
      </x:c>
      <x:c r="B17" s="16" t="n">
        <x:v>2860</x:v>
      </x:c>
      <x:c r="C17" s="10" t="str">
        <x:v>As stated</x:v>
      </x:c>
      <x:c r="D17" s="2"/>
      <x:c r="E17" s="2"/>
    </x:row>
    <x:row r="18" ht="29" customHeight="1">
      <x:c r="A18" s="13" t="str">
        <x:v>Allocated total</x:v>
      </x:c>
      <x:c r="B18" s="20" t="n">
        <x:f>SUM(B11:B17)</x:f>
        <x:v>17465</x:v>
      </x:c>
      <x:c r="C18" s="13"/>
      <x:c r="D18" s="2"/>
      <x:c r="E18" s="2" t="str">
        <x:v>Blue numbers are editable source inputs. Change only after agreement.</x:v>
      </x:c>
    </x:row>
    <x:row r="19" ht="25" customHeight="1">
      <x:c r="A19" s="2"/>
      <x:c r="B19" s="19"/>
      <x:c r="C19" s="2"/>
      <x:c r="D19" s="2"/>
      <x:c r="E19" s="2"/>
    </x:row>
    <x:row r="20" ht="25" customHeight="1">
      <x:c r="A20" s="2" t="str">
        <x:v>Unassigned amount</x:v>
      </x:c>
      <x:c r="B20" s="19" t="n">
        <x:f>B7-B18</x:f>
        <x:v>0</x:v>
      </x:c>
      <x:c r="C20" s="2"/>
      <x:c r="D20" s="2"/>
      <x:c r="E20" s="2"/>
    </x:row>
    <x:row r="21" ht="25" customHeight="1">
      <x:c r="A21" s="2" t="str">
        <x:v>Status</x:v>
      </x:c>
      <x:c r="B21" s="2" t="str">
        <x:f>IF(ABS(B20)&lt;0.005,"Reconciled","UNSETTLED")</x:f>
        <x:v>Reconciled</x:v>
      </x:c>
      <x:c r="C21" s="2"/>
      <x:c r="D21" s="2"/>
      <x:c r="E21" s="2"/>
    </x:row>
    <x:row r="22" ht="25" customHeight="1">
      <x:c r="A22" s="2"/>
      <x:c r="B22" s="2"/>
      <x:c r="C22" s="2"/>
      <x:c r="D22" s="2"/>
      <x:c r="E22" s="2"/>
    </x:row>
    <x:row r="23" ht="25" customHeight="1">
      <x:c r="A23" s="2"/>
      <x:c r="B23" s="2"/>
      <x:c r="C23" s="2"/>
      <x:c r="D23" s="2"/>
      <x:c r="E23" s="2"/>
    </x:row>
    <x:row r="24" ht="25" customHeight="1">
      <x:c r="A24" s="2"/>
      <x:c r="B24" s="2"/>
      <x:c r="C24" s="2"/>
      <x:c r="D24" s="2"/>
      <x:c r="E24" s="2"/>
    </x:row>
    <x:row r="25" ht="25" customHeight="1">
      <x:c r="A25" s="2"/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</x:sheetData>
  <x:conditionalFormatting sqref="B20:B20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27294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35" hidden="0" customWidth="1"/>
    <x:col min="5" max="5" width="18" hidden="0" customWidth="1"/>
    <x:col min="6" max="6" width="19" hidden="0" customWidth="1"/>
    <x:col min="7" max="7" width="43" hidden="0" customWidth="1"/>
    <x:col min="8" max="8" width="1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6" hidden="0" customWidth="1"/>
    <x:col min="17" max="17" width="2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7" customHeight="1">
      <x:c r="A2" s="3" t="str">
        <x:v>Scapia expense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7" customHeight="1">
      <x:c r="A4" s="2" t="str">
        <x:v>Source: supplied day-wise list. Rushang paid all card entries. Amounts are treated as INR card charges.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7" customHeight="1">
      <x:c r="A5" s="2" t="str">
        <x:v>Blue amounts are source inputs. Verification is pending against the Scapia statement. Dates preserve the supplied day/month; year is not assumed.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7" customHeight="1">
      <x:c r="A6" s="2" t="str">
        <x:v>Pranav-only purchases settle separately. Group purchases include only the named beneficiaries. Split rounding remainder goes to the last named adult in the table.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7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42" customHeight="1">
      <x:c r="A8" s="72" t="str">
        <x:v>ID</x:v>
      </x:c>
      <x:c r="B8" s="72" t="str">
        <x:v>Day</x:v>
      </x:c>
      <x:c r="C8" s="72" t="str">
        <x:v>Date</x:v>
      </x:c>
      <x:c r="D8" s="72" t="str">
        <x:v>Expense description</x:v>
      </x:c>
      <x:c r="E8" s="72" t="str">
        <x:v>Amount (INR)</x:v>
      </x:c>
      <x:c r="F8" s="72" t="str">
        <x:v>Settlement</x:v>
      </x:c>
      <x:c r="G8" s="72" t="str">
        <x:v>Beneficiaries</x:v>
      </x:c>
      <x:c r="H8" s="72" t="str">
        <x:v>Adults</x:v>
      </x:c>
      <x:c r="I8" s="72" t="str">
        <x:v>Rushang</x:v>
      </x:c>
      <x:c r="J8" s="72" t="str">
        <x:v>Rushabh</x:v>
      </x:c>
      <x:c r="K8" s="72" t="str">
        <x:v>Bhoomi</x:v>
      </x:c>
      <x:c r="L8" s="72" t="str">
        <x:v>Pranav</x:v>
      </x:c>
      <x:c r="M8" s="72" t="str">
        <x:v>Divya</x:v>
      </x:c>
      <x:c r="N8" s="72" t="str">
        <x:v>Pankaj</x:v>
      </x:c>
      <x:c r="O8" s="72" t="str">
        <x:v>Jinal</x:v>
      </x:c>
      <x:c r="P8" s="72" t="str">
        <x:v>Split difference</x:v>
      </x:c>
      <x:c r="Q8" s="72" t="str">
        <x:v>Card verified?</x:v>
      </x:c>
    </x:row>
    <x:row r="9" ht="43" customHeight="1">
      <x:c r="A9" s="73" t="str">
        <x:v>SC01</x:v>
      </x:c>
      <x:c r="B9" s="73" t="n">
        <x:v>1</x:v>
      </x:c>
      <x:c r="C9" s="73" t="str">
        <x:v>20 Oct</x:v>
      </x:c>
      <x:c r="D9" s="74" t="str">
        <x:v>Airport SIM</x:v>
      </x:c>
      <x:c r="E9" s="79" t="n">
        <x:v>4965</x:v>
      </x:c>
      <x:c r="F9" s="73" t="str">
        <x:v>Group</x:v>
      </x:c>
      <x:c r="G9" s="74" t="str">
        <x:v>Rushang, Rushabh, Bhoomi, Pranav, Divya, Pankaj, Jinal</x:v>
      </x:c>
      <x:c r="H9" s="73" t="n">
        <x:v>7</x:v>
      </x:c>
      <x:c r="I9" s="77" t="n">
        <x:f>ROUND(E9/7,2)</x:f>
        <x:v>709.29</x:v>
      </x:c>
      <x:c r="J9" s="77" t="n">
        <x:f>ROUND(E9/7,2)</x:f>
        <x:v>709.29</x:v>
      </x:c>
      <x:c r="K9" s="77" t="n">
        <x:f>ROUND(E9/7,2)</x:f>
        <x:v>709.29</x:v>
      </x:c>
      <x:c r="L9" s="77" t="n">
        <x:f>ROUND(E9/7,2)</x:f>
        <x:v>709.29</x:v>
      </x:c>
      <x:c r="M9" s="77" t="n">
        <x:f>ROUND(E9/7,2)</x:f>
        <x:v>709.29</x:v>
      </x:c>
      <x:c r="N9" s="77" t="n">
        <x:f>ROUND(E9/7,2)</x:f>
        <x:v>709.29</x:v>
      </x:c>
      <x:c r="O9" s="77" t="n">
        <x:f>E9-SUM(I9,J9,K9,L9,M9,N9)</x:f>
        <x:v>709.2600000000002</x:v>
      </x:c>
      <x:c r="P9" s="77" t="n">
        <x:f>E9-SUM(I9:O9)</x:f>
        <x:v>0</x:v>
      </x:c>
      <x:c r="Q9" s="73" t="str">
        <x:v>Pending</x:v>
      </x:c>
    </x:row>
    <x:row r="10" ht="43" customHeight="1">
      <x:c r="A10" s="2" t="str">
        <x:v>SC02</x:v>
      </x:c>
      <x:c r="B10" s="2" t="n">
        <x:v>3</x:v>
      </x:c>
      <x:c r="C10" s="2" t="str">
        <x:v>22 Oct</x:v>
      </x:c>
      <x:c r="D10" s="23" t="str">
        <x:v>Galle magnet for Pranav</x:v>
      </x:c>
      <x:c r="E10" s="18" t="n">
        <x:v>285</x:v>
      </x:c>
      <x:c r="F10" s="2" t="str">
        <x:v>Pranav separate</x:v>
      </x:c>
      <x:c r="G10" s="23" t="str">
        <x:v>Pranav</x:v>
      </x:c>
      <x:c r="H10" s="2" t="n">
        <x:v>1</x:v>
      </x:c>
      <x:c r="I10" s="19" t="n">
        <x:v>0</x:v>
      </x:c>
      <x:c r="J10" s="19" t="n">
        <x:v>0</x:v>
      </x:c>
      <x:c r="K10" s="19" t="n">
        <x:v>0</x:v>
      </x:c>
      <x:c r="L10" s="19" t="n">
        <x:f>E10</x:f>
        <x:v>285</x:v>
      </x:c>
      <x:c r="M10" s="19" t="n">
        <x:v>0</x:v>
      </x:c>
      <x:c r="N10" s="19" t="n">
        <x:v>0</x:v>
      </x:c>
      <x:c r="O10" s="19" t="n">
        <x:v>0</x:v>
      </x:c>
      <x:c r="P10" s="19" t="n">
        <x:f>E10-SUM(I10:O10)</x:f>
        <x:v>0</x:v>
      </x:c>
      <x:c r="Q10" s="2" t="str">
        <x:v>Pending</x:v>
      </x:c>
    </x:row>
    <x:row r="11" ht="43" customHeight="1">
      <x:c r="A11" s="73" t="str">
        <x:v>SC03</x:v>
      </x:c>
      <x:c r="B11" s="73" t="n">
        <x:v>3</x:v>
      </x:c>
      <x:c r="C11" s="73" t="str">
        <x:v>22 Oct</x:v>
      </x:c>
      <x:c r="D11" s="74" t="str">
        <x:v>Zouke Cafe bill</x:v>
      </x:c>
      <x:c r="E11" s="79" t="n">
        <x:v>4779</x:v>
      </x:c>
      <x:c r="F11" s="73" t="str">
        <x:v>Group</x:v>
      </x:c>
      <x:c r="G11" s="74" t="str">
        <x:v>Rushang, Pranav, Divya, Pankaj, Jinal</x:v>
      </x:c>
      <x:c r="H11" s="73" t="n">
        <x:v>5</x:v>
      </x:c>
      <x:c r="I11" s="77" t="n">
        <x:f>ROUND(E11/5,2)</x:f>
        <x:v>955.8</x:v>
      </x:c>
      <x:c r="J11" s="77" t="n">
        <x:v>0</x:v>
      </x:c>
      <x:c r="K11" s="77" t="n">
        <x:v>0</x:v>
      </x:c>
      <x:c r="L11" s="77" t="n">
        <x:f>ROUND(E11/5,2)</x:f>
        <x:v>955.8</x:v>
      </x:c>
      <x:c r="M11" s="77" t="n">
        <x:f>ROUND(E11/5,2)</x:f>
        <x:v>955.8</x:v>
      </x:c>
      <x:c r="N11" s="77" t="n">
        <x:f>ROUND(E11/5,2)</x:f>
        <x:v>955.8</x:v>
      </x:c>
      <x:c r="O11" s="77" t="n">
        <x:f>E11-SUM(I11,L11,M11,N11)</x:f>
        <x:v>955.8000000000002</x:v>
      </x:c>
      <x:c r="P11" s="77" t="n">
        <x:f>E11-SUM(I11:O11)</x:f>
        <x:v>0</x:v>
      </x:c>
      <x:c r="Q11" s="73" t="str">
        <x:v>Pending</x:v>
      </x:c>
    </x:row>
    <x:row r="12" ht="43" customHeight="1">
      <x:c r="A12" s="2" t="str">
        <x:v>SC04</x:v>
      </x:c>
      <x:c r="B12" s="2" t="n">
        <x:v>4</x:v>
      </x:c>
      <x:c r="C12" s="2" t="str">
        <x:v>23 Oct</x:v>
      </x:c>
      <x:c r="D12" s="23" t="str">
        <x:v>Tea for all</x:v>
      </x:c>
      <x:c r="E12" s="18" t="n">
        <x:v>545</x:v>
      </x:c>
      <x:c r="F12" s="2" t="str">
        <x:v>Group</x:v>
      </x:c>
      <x:c r="G12" s="23" t="str">
        <x:v>Rushang, Rushabh, Bhoomi, Pranav, Divya, Pankaj, Jinal</x:v>
      </x:c>
      <x:c r="H12" s="2" t="n">
        <x:v>7</x:v>
      </x:c>
      <x:c r="I12" s="19" t="n">
        <x:f>ROUND(E12/7,2)</x:f>
        <x:v>77.86</x:v>
      </x:c>
      <x:c r="J12" s="19" t="n">
        <x:f>ROUND(E12/7,2)</x:f>
        <x:v>77.86</x:v>
      </x:c>
      <x:c r="K12" s="19" t="n">
        <x:f>ROUND(E12/7,2)</x:f>
        <x:v>77.86</x:v>
      </x:c>
      <x:c r="L12" s="19" t="n">
        <x:f>ROUND(E12/7,2)</x:f>
        <x:v>77.86</x:v>
      </x:c>
      <x:c r="M12" s="19" t="n">
        <x:f>ROUND(E12/7,2)</x:f>
        <x:v>77.86</x:v>
      </x:c>
      <x:c r="N12" s="19" t="n">
        <x:f>ROUND(E12/7,2)</x:f>
        <x:v>77.86</x:v>
      </x:c>
      <x:c r="O12" s="19" t="n">
        <x:f>E12-SUM(I12,J12,K12,L12,M12,N12)</x:f>
        <x:v>77.83999999999997</x:v>
      </x:c>
      <x:c r="P12" s="19" t="n">
        <x:f>E12-SUM(I12:O12)</x:f>
        <x:v>0</x:v>
      </x:c>
      <x:c r="Q12" s="2" t="str">
        <x:v>Pending</x:v>
      </x:c>
    </x:row>
    <x:row r="13" ht="43" customHeight="1">
      <x:c r="A13" s="73" t="str">
        <x:v>SC05</x:v>
      </x:c>
      <x:c r="B13" s="73" t="n">
        <x:v>4</x:v>
      </x:c>
      <x:c r="C13" s="73" t="str">
        <x:v>23 Oct</x:v>
      </x:c>
      <x:c r="D13" s="74" t="str">
        <x:v>Tea packet for Pranav home</x:v>
      </x:c>
      <x:c r="E13" s="79" t="n">
        <x:v>286</x:v>
      </x:c>
      <x:c r="F13" s="73" t="str">
        <x:v>Pranav separate</x:v>
      </x:c>
      <x:c r="G13" s="74" t="str">
        <x:v>Pranav</x:v>
      </x:c>
      <x:c r="H13" s="73" t="n">
        <x:v>1</x:v>
      </x:c>
      <x:c r="I13" s="77" t="n">
        <x:v>0</x:v>
      </x:c>
      <x:c r="J13" s="77" t="n">
        <x:v>0</x:v>
      </x:c>
      <x:c r="K13" s="77" t="n">
        <x:v>0</x:v>
      </x:c>
      <x:c r="L13" s="77" t="n">
        <x:f>E13</x:f>
        <x:v>286</x:v>
      </x:c>
      <x:c r="M13" s="77" t="n">
        <x:v>0</x:v>
      </x:c>
      <x:c r="N13" s="77" t="n">
        <x:v>0</x:v>
      </x:c>
      <x:c r="O13" s="77" t="n">
        <x:v>0</x:v>
      </x:c>
      <x:c r="P13" s="77" t="n">
        <x:f>E13-SUM(I13:O13)</x:f>
        <x:v>0</x:v>
      </x:c>
      <x:c r="Q13" s="73" t="str">
        <x:v>Pending</x:v>
      </x:c>
    </x:row>
    <x:row r="14" ht="43" customHeight="1">
      <x:c r="A14" s="2" t="str">
        <x:v>SC06</x:v>
      </x:c>
      <x:c r="B14" s="2" t="n">
        <x:v>5</x:v>
      </x:c>
      <x:c r="C14" s="2" t="str">
        <x:v>24 Oct</x:v>
      </x:c>
      <x:c r="D14" s="23" t="str">
        <x:v>Cafe Noshers, Nuwara</x:v>
      </x:c>
      <x:c r="E14" s="18" t="n">
        <x:v>3590</x:v>
      </x:c>
      <x:c r="F14" s="2" t="str">
        <x:v>Group</x:v>
      </x:c>
      <x:c r="G14" s="23" t="str">
        <x:v>Rushang, Rushabh, Bhoomi, Pranav, Divya, Pankaj, Jinal</x:v>
      </x:c>
      <x:c r="H14" s="2" t="n">
        <x:v>7</x:v>
      </x:c>
      <x:c r="I14" s="19" t="n">
        <x:f>ROUND(E14/7,2)</x:f>
        <x:v>512.86</x:v>
      </x:c>
      <x:c r="J14" s="19" t="n">
        <x:f>ROUND(E14/7,2)</x:f>
        <x:v>512.86</x:v>
      </x:c>
      <x:c r="K14" s="19" t="n">
        <x:f>ROUND(E14/7,2)</x:f>
        <x:v>512.86</x:v>
      </x:c>
      <x:c r="L14" s="19" t="n">
        <x:f>ROUND(E14/7,2)</x:f>
        <x:v>512.86</x:v>
      </x:c>
      <x:c r="M14" s="19" t="n">
        <x:f>ROUND(E14/7,2)</x:f>
        <x:v>512.86</x:v>
      </x:c>
      <x:c r="N14" s="19" t="n">
        <x:f>ROUND(E14/7,2)</x:f>
        <x:v>512.86</x:v>
      </x:c>
      <x:c r="O14" s="19" t="n">
        <x:f>E14-SUM(I14,J14,K14,L14,M14,N14)</x:f>
        <x:v>512.8399999999997</x:v>
      </x:c>
      <x:c r="P14" s="19" t="n">
        <x:f>E14-SUM(I14:O14)</x:f>
        <x:v>0</x:v>
      </x:c>
      <x:c r="Q14" s="2" t="str">
        <x:v>Pending</x:v>
      </x:c>
    </x:row>
    <x:row r="15" ht="43" customHeight="1">
      <x:c r="A15" s="73" t="str">
        <x:v>SC07</x:v>
      </x:c>
      <x:c r="B15" s="73" t="n">
        <x:v>5</x:v>
      </x:c>
      <x:c r="C15" s="73" t="str">
        <x:v>24 Oct</x:v>
      </x:c>
      <x:c r="D15" s="74" t="str">
        <x:v>Redbull / beer</x:v>
      </x:c>
      <x:c r="E15" s="79" t="n">
        <x:v>309</x:v>
      </x:c>
      <x:c r="F15" s="73" t="str">
        <x:v>Group</x:v>
      </x:c>
      <x:c r="G15" s="74" t="str">
        <x:v>Rushang, Rushabh, Bhoomi, Pranav, Divya, Pankaj, Jinal</x:v>
      </x:c>
      <x:c r="H15" s="73" t="n">
        <x:v>7</x:v>
      </x:c>
      <x:c r="I15" s="77" t="n">
        <x:f>ROUND(E15/7,2)</x:f>
        <x:v>44.14</x:v>
      </x:c>
      <x:c r="J15" s="77" t="n">
        <x:f>ROUND(E15/7,2)</x:f>
        <x:v>44.14</x:v>
      </x:c>
      <x:c r="K15" s="77" t="n">
        <x:f>ROUND(E15/7,2)</x:f>
        <x:v>44.14</x:v>
      </x:c>
      <x:c r="L15" s="77" t="n">
        <x:f>ROUND(E15/7,2)</x:f>
        <x:v>44.14</x:v>
      </x:c>
      <x:c r="M15" s="77" t="n">
        <x:f>ROUND(E15/7,2)</x:f>
        <x:v>44.14</x:v>
      </x:c>
      <x:c r="N15" s="77" t="n">
        <x:f>ROUND(E15/7,2)</x:f>
        <x:v>44.14</x:v>
      </x:c>
      <x:c r="O15" s="77" t="n">
        <x:f>E15-SUM(I15,J15,K15,L15,M15,N15)</x:f>
        <x:v>44.160000000000025</x:v>
      </x:c>
      <x:c r="P15" s="77" t="n">
        <x:f>E15-SUM(I15:O15)</x:f>
        <x:v>0</x:v>
      </x:c>
      <x:c r="Q15" s="73" t="str">
        <x:v>Pending</x:v>
      </x:c>
    </x:row>
    <x:row r="16" ht="43" customHeight="1">
      <x:c r="A16" s="2" t="str">
        <x:v>SC08</x:v>
      </x:c>
      <x:c r="B16" s="2" t="n">
        <x:v>5</x:v>
      </x:c>
      <x:c r="C16" s="2" t="str">
        <x:v>24 Oct</x:v>
      </x:c>
      <x:c r="D16" s="23" t="str">
        <x:v>Water bottle / juice</x:v>
      </x:c>
      <x:c r="E16" s="18" t="n">
        <x:v>527</x:v>
      </x:c>
      <x:c r="F16" s="2" t="str">
        <x:v>Group</x:v>
      </x:c>
      <x:c r="G16" s="23" t="str">
        <x:v>Rushang, Rushabh, Bhoomi, Pranav, Divya, Pankaj, Jinal</x:v>
      </x:c>
      <x:c r="H16" s="2" t="n">
        <x:v>7</x:v>
      </x:c>
      <x:c r="I16" s="19" t="n">
        <x:f>ROUND(E16/7,2)</x:f>
        <x:v>75.29</x:v>
      </x:c>
      <x:c r="J16" s="19" t="n">
        <x:f>ROUND(E16/7,2)</x:f>
        <x:v>75.29</x:v>
      </x:c>
      <x:c r="K16" s="19" t="n">
        <x:f>ROUND(E16/7,2)</x:f>
        <x:v>75.29</x:v>
      </x:c>
      <x:c r="L16" s="19" t="n">
        <x:f>ROUND(E16/7,2)</x:f>
        <x:v>75.29</x:v>
      </x:c>
      <x:c r="M16" s="19" t="n">
        <x:f>ROUND(E16/7,2)</x:f>
        <x:v>75.29</x:v>
      </x:c>
      <x:c r="N16" s="19" t="n">
        <x:f>ROUND(E16/7,2)</x:f>
        <x:v>75.29</x:v>
      </x:c>
      <x:c r="O16" s="19" t="n">
        <x:f>E16-SUM(I16,J16,K16,L16,M16,N16)</x:f>
        <x:v>75.25999999999993</x:v>
      </x:c>
      <x:c r="P16" s="19" t="n">
        <x:f>E16-SUM(I16:O16)</x:f>
        <x:v>0</x:v>
      </x:c>
      <x:c r="Q16" s="2" t="str">
        <x:v>Pending</x:v>
      </x:c>
    </x:row>
    <x:row r="17" ht="43" customHeight="1">
      <x:c r="A17" s="73" t="str">
        <x:v>SC09</x:v>
      </x:c>
      <x:c r="B17" s="73" t="n">
        <x:v>6</x:v>
      </x:c>
      <x:c r="C17" s="73" t="str">
        <x:v>25 Oct</x:v>
      </x:c>
      <x:c r="D17" s="74" t="str">
        <x:v>Blue Field tea for Pranav</x:v>
      </x:c>
      <x:c r="E17" s="79" t="n">
        <x:v>3347</x:v>
      </x:c>
      <x:c r="F17" s="73" t="str">
        <x:v>Pranav separate</x:v>
      </x:c>
      <x:c r="G17" s="74" t="str">
        <x:v>Pranav</x:v>
      </x:c>
      <x:c r="H17" s="73" t="n">
        <x:v>1</x:v>
      </x:c>
      <x:c r="I17" s="77" t="n">
        <x:v>0</x:v>
      </x:c>
      <x:c r="J17" s="77" t="n">
        <x:v>0</x:v>
      </x:c>
      <x:c r="K17" s="77" t="n">
        <x:v>0</x:v>
      </x:c>
      <x:c r="L17" s="77" t="n">
        <x:f>E17</x:f>
        <x:v>3347</x:v>
      </x:c>
      <x:c r="M17" s="77" t="n">
        <x:v>0</x:v>
      </x:c>
      <x:c r="N17" s="77" t="n">
        <x:v>0</x:v>
      </x:c>
      <x:c r="O17" s="77" t="n">
        <x:v>0</x:v>
      </x:c>
      <x:c r="P17" s="77" t="n">
        <x:f>E17-SUM(I17:O17)</x:f>
        <x:v>0</x:v>
      </x:c>
      <x:c r="Q17" s="73" t="str">
        <x:v>Pending</x:v>
      </x:c>
    </x:row>
    <x:row r="18" ht="43" customHeight="1">
      <x:c r="A18" s="2" t="str">
        <x:v>SC10</x:v>
      </x:c>
      <x:c r="B18" s="2" t="n">
        <x:v>6</x:v>
      </x:c>
      <x:c r="C18" s="2" t="str">
        <x:v>25 Oct</x:v>
      </x:c>
      <x:c r="D18" s="23" t="str">
        <x:v>Cafe in Kandy</x:v>
      </x:c>
      <x:c r="E18" s="18" t="n">
        <x:v>2720</x:v>
      </x:c>
      <x:c r="F18" s="2" t="str">
        <x:v>Group</x:v>
      </x:c>
      <x:c r="G18" s="23" t="str">
        <x:v>Rushang, Rushabh, Bhoomi, Pranav, Divya, Pankaj, Jinal</x:v>
      </x:c>
      <x:c r="H18" s="2" t="n">
        <x:v>7</x:v>
      </x:c>
      <x:c r="I18" s="19" t="n">
        <x:f>ROUND(E18/7,2)</x:f>
        <x:v>388.57</x:v>
      </x:c>
      <x:c r="J18" s="19" t="n">
        <x:f>ROUND(E18/7,2)</x:f>
        <x:v>388.57</x:v>
      </x:c>
      <x:c r="K18" s="19" t="n">
        <x:f>ROUND(E18/7,2)</x:f>
        <x:v>388.57</x:v>
      </x:c>
      <x:c r="L18" s="19" t="n">
        <x:f>ROUND(E18/7,2)</x:f>
        <x:v>388.57</x:v>
      </x:c>
      <x:c r="M18" s="19" t="n">
        <x:f>ROUND(E18/7,2)</x:f>
        <x:v>388.57</x:v>
      </x:c>
      <x:c r="N18" s="19" t="n">
        <x:f>ROUND(E18/7,2)</x:f>
        <x:v>388.57</x:v>
      </x:c>
      <x:c r="O18" s="19" t="n">
        <x:f>E18-SUM(I18,J18,K18,L18,M18,N18)</x:f>
        <x:v>388.5799999999999</x:v>
      </x:c>
      <x:c r="P18" s="19" t="n">
        <x:f>E18-SUM(I18:O18)</x:f>
        <x:v>0</x:v>
      </x:c>
      <x:c r="Q18" s="2" t="str">
        <x:v>Pending</x:v>
      </x:c>
    </x:row>
    <x:row r="19" ht="43" customHeight="1">
      <x:c r="A19" s="73" t="str">
        <x:v>SC11</x:v>
      </x:c>
      <x:c r="B19" s="73" t="n">
        <x:v>6</x:v>
      </x:c>
      <x:c r="C19" s="73" t="str">
        <x:v>25 Oct</x:v>
      </x:c>
      <x:c r="D19" s="74" t="str">
        <x:v>Purchase; description not supplied</x:v>
      </x:c>
      <x:c r="E19" s="79" t="n">
        <x:v>1084</x:v>
      </x:c>
      <x:c r="F19" s="73" t="str">
        <x:v>Group</x:v>
      </x:c>
      <x:c r="G19" s="74" t="str">
        <x:v>Rushang, Rushabh, Pankaj</x:v>
      </x:c>
      <x:c r="H19" s="73" t="n">
        <x:v>3</x:v>
      </x:c>
      <x:c r="I19" s="77" t="n">
        <x:f>ROUND(E19/3,2)</x:f>
        <x:v>361.33</x:v>
      </x:c>
      <x:c r="J19" s="77" t="n">
        <x:f>ROUND(E19/3,2)</x:f>
        <x:v>361.33</x:v>
      </x:c>
      <x:c r="K19" s="77" t="n">
        <x:v>0</x:v>
      </x:c>
      <x:c r="L19" s="77" t="n">
        <x:v>0</x:v>
      </x:c>
      <x:c r="M19" s="77" t="n">
        <x:v>0</x:v>
      </x:c>
      <x:c r="N19" s="77" t="n">
        <x:f>E19-SUM(I19,J19)</x:f>
        <x:v>361.34000000000003</x:v>
      </x:c>
      <x:c r="O19" s="77" t="n">
        <x:v>0</x:v>
      </x:c>
      <x:c r="P19" s="77" t="n">
        <x:f>E19-SUM(I19:O19)</x:f>
        <x:v>0</x:v>
      </x:c>
      <x:c r="Q19" s="73" t="str">
        <x:v>Pending</x:v>
      </x:c>
    </x:row>
    <x:row r="20" ht="43" customHeight="1">
      <x:c r="A20" s="2" t="str">
        <x:v>SC12</x:v>
      </x:c>
      <x:c r="B20" s="2" t="n">
        <x:v>7</x:v>
      </x:c>
      <x:c r="C20" s="2" t="str">
        <x:v>26 Oct</x:v>
      </x:c>
      <x:c r="D20" s="23" t="str">
        <x:v>Water and other items</x:v>
      </x:c>
      <x:c r="E20" s="18" t="n">
        <x:v>1313</x:v>
      </x:c>
      <x:c r="F20" s="2" t="str">
        <x:v>Group</x:v>
      </x:c>
      <x:c r="G20" s="23" t="str">
        <x:v>Rushang, Rushabh, Bhoomi, Pranav, Divya, Pankaj, Jinal</x:v>
      </x:c>
      <x:c r="H20" s="2" t="n">
        <x:v>7</x:v>
      </x:c>
      <x:c r="I20" s="19" t="n">
        <x:f>ROUND(E20/7,2)</x:f>
        <x:v>187.57</x:v>
      </x:c>
      <x:c r="J20" s="19" t="n">
        <x:f>ROUND(E20/7,2)</x:f>
        <x:v>187.57</x:v>
      </x:c>
      <x:c r="K20" s="19" t="n">
        <x:f>ROUND(E20/7,2)</x:f>
        <x:v>187.57</x:v>
      </x:c>
      <x:c r="L20" s="19" t="n">
        <x:f>ROUND(E20/7,2)</x:f>
        <x:v>187.57</x:v>
      </x:c>
      <x:c r="M20" s="19" t="n">
        <x:f>ROUND(E20/7,2)</x:f>
        <x:v>187.57</x:v>
      </x:c>
      <x:c r="N20" s="19" t="n">
        <x:f>ROUND(E20/7,2)</x:f>
        <x:v>187.57</x:v>
      </x:c>
      <x:c r="O20" s="19" t="n">
        <x:f>E20-SUM(I20,J20,K20,L20,M20,N20)</x:f>
        <x:v>187.58000000000015</x:v>
      </x:c>
      <x:c r="P20" s="19" t="n">
        <x:f>E20-SUM(I20:O20)</x:f>
        <x:v>0</x:v>
      </x:c>
      <x:c r="Q20" s="2" t="str">
        <x:v>Pending</x:v>
      </x:c>
    </x:row>
    <x:row r="21" ht="43" customHeight="1">
      <x:c r="A21" s="73" t="str">
        <x:v>SC13</x:v>
      </x:c>
      <x:c r="B21" s="73" t="n">
        <x:v>7</x:v>
      </x:c>
      <x:c r="C21" s="73" t="str">
        <x:v>26 Oct</x:v>
      </x:c>
      <x:c r="D21" s="74" t="str">
        <x:v>Soul Food</x:v>
      </x:c>
      <x:c r="E21" s="79" t="n">
        <x:v>4470</x:v>
      </x:c>
      <x:c r="F21" s="73" t="str">
        <x:v>Group</x:v>
      </x:c>
      <x:c r="G21" s="74" t="str">
        <x:v>Rushang, Rushabh, Bhoomi, Pranav, Divya, Pankaj, Jinal</x:v>
      </x:c>
      <x:c r="H21" s="73" t="n">
        <x:v>7</x:v>
      </x:c>
      <x:c r="I21" s="77" t="n">
        <x:f>ROUND(E21/7,2)</x:f>
        <x:v>638.57</x:v>
      </x:c>
      <x:c r="J21" s="77" t="n">
        <x:f>ROUND(E21/7,2)</x:f>
        <x:v>638.57</x:v>
      </x:c>
      <x:c r="K21" s="77" t="n">
        <x:f>ROUND(E21/7,2)</x:f>
        <x:v>638.57</x:v>
      </x:c>
      <x:c r="L21" s="77" t="n">
        <x:f>ROUND(E21/7,2)</x:f>
        <x:v>638.57</x:v>
      </x:c>
      <x:c r="M21" s="77" t="n">
        <x:f>ROUND(E21/7,2)</x:f>
        <x:v>638.57</x:v>
      </x:c>
      <x:c r="N21" s="77" t="n">
        <x:f>ROUND(E21/7,2)</x:f>
        <x:v>638.57</x:v>
      </x:c>
      <x:c r="O21" s="77" t="n">
        <x:f>E21-SUM(I21,J21,K21,L21,M21,N21)</x:f>
        <x:v>638.5799999999995</x:v>
      </x:c>
      <x:c r="P21" s="77" t="n">
        <x:f>E21-SUM(I21:O21)</x:f>
        <x:v>0</x:v>
      </x:c>
      <x:c r="Q21" s="73" t="str">
        <x:v>Pending</x:v>
      </x:c>
    </x:row>
    <x:row r="22" ht="43" customHeight="1">
      <x:c r="A22" s="2" t="str">
        <x:v>SC14</x:v>
      </x:c>
      <x:c r="B22" s="2" t="n">
        <x:v>7</x:v>
      </x:c>
      <x:c r="C22" s="2" t="str">
        <x:v>26 Oct</x:v>
      </x:c>
      <x:c r="D22" s="23" t="str">
        <x:v>Track (as supplied)</x:v>
      </x:c>
      <x:c r="E22" s="18" t="n">
        <x:v>13500</x:v>
      </x:c>
      <x:c r="F22" s="2" t="str">
        <x:v>Group</x:v>
      </x:c>
      <x:c r="G22" s="23" t="str">
        <x:v>Rushang, Rushabh, Bhoomi, Pranav, Divya, Pankaj, Jinal</x:v>
      </x:c>
      <x:c r="H22" s="2" t="n">
        <x:v>7</x:v>
      </x:c>
      <x:c r="I22" s="19" t="n">
        <x:f>ROUND(E22/7,2)</x:f>
        <x:v>1928.57</x:v>
      </x:c>
      <x:c r="J22" s="19" t="n">
        <x:f>ROUND(E22/7,2)</x:f>
        <x:v>1928.57</x:v>
      </x:c>
      <x:c r="K22" s="19" t="n">
        <x:f>ROUND(E22/7,2)</x:f>
        <x:v>1928.57</x:v>
      </x:c>
      <x:c r="L22" s="19" t="n">
        <x:f>ROUND(E22/7,2)</x:f>
        <x:v>1928.57</x:v>
      </x:c>
      <x:c r="M22" s="19" t="n">
        <x:f>ROUND(E22/7,2)</x:f>
        <x:v>1928.57</x:v>
      </x:c>
      <x:c r="N22" s="19" t="n">
        <x:f>ROUND(E22/7,2)</x:f>
        <x:v>1928.57</x:v>
      </x:c>
      <x:c r="O22" s="19" t="n">
        <x:f>E22-SUM(I22,J22,K22,L22,M22,N22)</x:f>
        <x:v>1928.58</x:v>
      </x:c>
      <x:c r="P22" s="19" t="n">
        <x:f>E22-SUM(I22:O22)</x:f>
        <x:v>0</x:v>
      </x:c>
      <x:c r="Q22" s="2" t="str">
        <x:v>Pending</x:v>
      </x:c>
    </x:row>
    <x:row r="23" ht="43" customHeight="1">
      <x:c r="A23" s="73" t="str">
        <x:v>SC15</x:v>
      </x:c>
      <x:c r="B23" s="73" t="n">
        <x:v>7</x:v>
      </x:c>
      <x:c r="C23" s="73" t="str">
        <x:v>26 Oct</x:v>
      </x:c>
      <x:c r="D23" s="74" t="str">
        <x:v>Cocoba</x:v>
      </x:c>
      <x:c r="E23" s="79" t="n">
        <x:v>3890</x:v>
      </x:c>
      <x:c r="F23" s="73" t="str">
        <x:v>Group</x:v>
      </x:c>
      <x:c r="G23" s="74" t="str">
        <x:v>Rushang, Rushabh, Bhoomi, Pranav, Divya, Pankaj, Jinal</x:v>
      </x:c>
      <x:c r="H23" s="73" t="n">
        <x:v>7</x:v>
      </x:c>
      <x:c r="I23" s="77" t="n">
        <x:f>ROUND(E23/7,2)</x:f>
        <x:v>555.71</x:v>
      </x:c>
      <x:c r="J23" s="77" t="n">
        <x:f>ROUND(E23/7,2)</x:f>
        <x:v>555.71</x:v>
      </x:c>
      <x:c r="K23" s="77" t="n">
        <x:f>ROUND(E23/7,2)</x:f>
        <x:v>555.71</x:v>
      </x:c>
      <x:c r="L23" s="77" t="n">
        <x:f>ROUND(E23/7,2)</x:f>
        <x:v>555.71</x:v>
      </x:c>
      <x:c r="M23" s="77" t="n">
        <x:f>ROUND(E23/7,2)</x:f>
        <x:v>555.71</x:v>
      </x:c>
      <x:c r="N23" s="77" t="n">
        <x:f>ROUND(E23/7,2)</x:f>
        <x:v>555.71</x:v>
      </x:c>
      <x:c r="O23" s="77" t="n">
        <x:f>E23-SUM(I23,J23,K23,L23,M23,N23)</x:f>
        <x:v>555.7399999999998</x:v>
      </x:c>
      <x:c r="P23" s="77" t="n">
        <x:f>E23-SUM(I23:O23)</x:f>
        <x:v>0</x:v>
      </x:c>
      <x:c r="Q23" s="73" t="str">
        <x:v>Pending</x:v>
      </x:c>
    </x:row>
    <x:row r="24" ht="43" customHeight="1">
      <x:c r="A24" s="2" t="str">
        <x:v>SC16</x:v>
      </x:c>
      <x:c r="B24" s="2" t="n">
        <x:v>8</x:v>
      </x:c>
      <x:c r="C24" s="2" t="str">
        <x:v>27 Oct</x:v>
      </x:c>
      <x:c r="D24" s="23" t="str">
        <x:v>Cupcake for kaka birthday</x:v>
      </x:c>
      <x:c r="E24" s="18" t="n">
        <x:v>407</x:v>
      </x:c>
      <x:c r="F24" s="2" t="str">
        <x:v>Group</x:v>
      </x:c>
      <x:c r="G24" s="23" t="str">
        <x:v>Rushang, Rushabh, Bhoomi, Pranav, Divya, Pankaj, Jinal</x:v>
      </x:c>
      <x:c r="H24" s="2" t="n">
        <x:v>7</x:v>
      </x:c>
      <x:c r="I24" s="19" t="n">
        <x:f>ROUND(E24/7,2)</x:f>
        <x:v>58.14</x:v>
      </x:c>
      <x:c r="J24" s="19" t="n">
        <x:f>ROUND(E24/7,2)</x:f>
        <x:v>58.14</x:v>
      </x:c>
      <x:c r="K24" s="19" t="n">
        <x:f>ROUND(E24/7,2)</x:f>
        <x:v>58.14</x:v>
      </x:c>
      <x:c r="L24" s="19" t="n">
        <x:f>ROUND(E24/7,2)</x:f>
        <x:v>58.14</x:v>
      </x:c>
      <x:c r="M24" s="19" t="n">
        <x:f>ROUND(E24/7,2)</x:f>
        <x:v>58.14</x:v>
      </x:c>
      <x:c r="N24" s="19" t="n">
        <x:f>ROUND(E24/7,2)</x:f>
        <x:v>58.14</x:v>
      </x:c>
      <x:c r="O24" s="19" t="n">
        <x:f>E24-SUM(I24,J24,K24,L24,M24,N24)</x:f>
        <x:v>58.160000000000025</x:v>
      </x:c>
      <x:c r="P24" s="19" t="n">
        <x:f>E24-SUM(I24:O24)</x:f>
        <x:v>0</x:v>
      </x:c>
      <x:c r="Q24" s="2" t="str">
        <x:v>Pending</x:v>
      </x:c>
    </x:row>
    <x:row r="25" ht="43" customHeight="1">
      <x:c r="A25" s="73" t="str">
        <x:v>SC17</x:v>
      </x:c>
      <x:c r="B25" s="73" t="n">
        <x:v>8</x:v>
      </x:c>
      <x:c r="C25" s="73" t="str">
        <x:v>27 Oct</x:v>
      </x:c>
      <x:c r="D25" s="74" t="str">
        <x:v>Toll, first listed entry</x:v>
      </x:c>
      <x:c r="E25" s="79" t="n">
        <x:v>114</x:v>
      </x:c>
      <x:c r="F25" s="73" t="str">
        <x:v>Group</x:v>
      </x:c>
      <x:c r="G25" s="74" t="str">
        <x:v>Rushang, Rushabh, Bhoomi, Pranav, Divya, Pankaj, Jinal</x:v>
      </x:c>
      <x:c r="H25" s="73" t="n">
        <x:v>7</x:v>
      </x:c>
      <x:c r="I25" s="77" t="n">
        <x:f>ROUND(E25/7,2)</x:f>
        <x:v>16.29</x:v>
      </x:c>
      <x:c r="J25" s="77" t="n">
        <x:f>ROUND(E25/7,2)</x:f>
        <x:v>16.29</x:v>
      </x:c>
      <x:c r="K25" s="77" t="n">
        <x:f>ROUND(E25/7,2)</x:f>
        <x:v>16.29</x:v>
      </x:c>
      <x:c r="L25" s="77" t="n">
        <x:f>ROUND(E25/7,2)</x:f>
        <x:v>16.29</x:v>
      </x:c>
      <x:c r="M25" s="77" t="n">
        <x:f>ROUND(E25/7,2)</x:f>
        <x:v>16.29</x:v>
      </x:c>
      <x:c r="N25" s="77" t="n">
        <x:f>ROUND(E25/7,2)</x:f>
        <x:v>16.29</x:v>
      </x:c>
      <x:c r="O25" s="77" t="n">
        <x:f>E25-SUM(I25,J25,K25,L25,M25,N25)</x:f>
        <x:v>16.26000000000002</x:v>
      </x:c>
      <x:c r="P25" s="77" t="n">
        <x:f>E25-SUM(I25:O25)</x:f>
        <x:v>0</x:v>
      </x:c>
      <x:c r="Q25" s="73" t="str">
        <x:v>Pending</x:v>
      </x:c>
    </x:row>
    <x:row r="26" ht="43" customHeight="1">
      <x:c r="A26" s="2" t="str">
        <x:v>SC18</x:v>
      </x:c>
      <x:c r="B26" s="2" t="n">
        <x:v>8</x:v>
      </x:c>
      <x:c r="C26" s="2" t="str">
        <x:v>27 Oct</x:v>
      </x:c>
      <x:c r="D26" s="23" t="str">
        <x:v>VisnuNivas Cafe</x:v>
      </x:c>
      <x:c r="E26" s="18" t="n">
        <x:v>1620</x:v>
      </x:c>
      <x:c r="F26" s="2" t="str">
        <x:v>Group</x:v>
      </x:c>
      <x:c r="G26" s="23" t="str">
        <x:v>Rushang, Rushabh, Bhoomi, Pranav, Divya, Pankaj, Jinal</x:v>
      </x:c>
      <x:c r="H26" s="2" t="n">
        <x:v>7</x:v>
      </x:c>
      <x:c r="I26" s="19" t="n">
        <x:f>ROUND(E26/7,2)</x:f>
        <x:v>231.43</x:v>
      </x:c>
      <x:c r="J26" s="19" t="n">
        <x:f>ROUND(E26/7,2)</x:f>
        <x:v>231.43</x:v>
      </x:c>
      <x:c r="K26" s="19" t="n">
        <x:f>ROUND(E26/7,2)</x:f>
        <x:v>231.43</x:v>
      </x:c>
      <x:c r="L26" s="19" t="n">
        <x:f>ROUND(E26/7,2)</x:f>
        <x:v>231.43</x:v>
      </x:c>
      <x:c r="M26" s="19" t="n">
        <x:f>ROUND(E26/7,2)</x:f>
        <x:v>231.43</x:v>
      </x:c>
      <x:c r="N26" s="19" t="n">
        <x:f>ROUND(E26/7,2)</x:f>
        <x:v>231.43</x:v>
      </x:c>
      <x:c r="O26" s="19" t="n">
        <x:f>E26-SUM(I26,J26,K26,L26,M26,N26)</x:f>
        <x:v>231.41999999999985</x:v>
      </x:c>
      <x:c r="P26" s="19" t="n">
        <x:f>E26-SUM(I26:O26)</x:f>
        <x:v>0</x:v>
      </x:c>
      <x:c r="Q26" s="2" t="str">
        <x:v>Pending</x:v>
      </x:c>
    </x:row>
    <x:row r="27" ht="43" customHeight="1">
      <x:c r="A27" s="73" t="str">
        <x:v>SC19</x:v>
      </x:c>
      <x:c r="B27" s="73" t="n">
        <x:v>8</x:v>
      </x:c>
      <x:c r="C27" s="73" t="str">
        <x:v>27 Oct</x:v>
      </x:c>
      <x:c r="D27" s="74" t="str">
        <x:v>Colombo mall for Pranav</x:v>
      </x:c>
      <x:c r="E27" s="79" t="n">
        <x:v>273</x:v>
      </x:c>
      <x:c r="F27" s="73" t="str">
        <x:v>Pranav separate</x:v>
      </x:c>
      <x:c r="G27" s="74" t="str">
        <x:v>Pranav</x:v>
      </x:c>
      <x:c r="H27" s="73" t="n">
        <x:v>1</x:v>
      </x:c>
      <x:c r="I27" s="77" t="n">
        <x:v>0</x:v>
      </x:c>
      <x:c r="J27" s="77" t="n">
        <x:v>0</x:v>
      </x:c>
      <x:c r="K27" s="77" t="n">
        <x:v>0</x:v>
      </x:c>
      <x:c r="L27" s="77" t="n">
        <x:f>E27</x:f>
        <x:v>273</x:v>
      </x:c>
      <x:c r="M27" s="77" t="n">
        <x:v>0</x:v>
      </x:c>
      <x:c r="N27" s="77" t="n">
        <x:v>0</x:v>
      </x:c>
      <x:c r="O27" s="77" t="n">
        <x:v>0</x:v>
      </x:c>
      <x:c r="P27" s="77" t="n">
        <x:f>E27-SUM(I27:O27)</x:f>
        <x:v>0</x:v>
      </x:c>
      <x:c r="Q27" s="73" t="str">
        <x:v>Pending</x:v>
      </x:c>
    </x:row>
    <x:row r="28" ht="43" customHeight="1">
      <x:c r="A28" s="2" t="str">
        <x:v>SC20</x:v>
      </x:c>
      <x:c r="B28" s="2" t="n">
        <x:v>8</x:v>
      </x:c>
      <x:c r="C28" s="2" t="str">
        <x:v>27 Oct</x:v>
      </x:c>
      <x:c r="D28" s="23" t="str">
        <x:v>Toll, second listed entry</x:v>
      </x:c>
      <x:c r="E28" s="18" t="n">
        <x:v>114</x:v>
      </x:c>
      <x:c r="F28" s="2" t="str">
        <x:v>Group</x:v>
      </x:c>
      <x:c r="G28" s="23" t="str">
        <x:v>Rushang, Rushabh, Bhoomi, Pranav, Divya, Pankaj, Jinal</x:v>
      </x:c>
      <x:c r="H28" s="2" t="n">
        <x:v>7</x:v>
      </x:c>
      <x:c r="I28" s="19" t="n">
        <x:f>ROUND(E28/7,2)</x:f>
        <x:v>16.29</x:v>
      </x:c>
      <x:c r="J28" s="19" t="n">
        <x:f>ROUND(E28/7,2)</x:f>
        <x:v>16.29</x:v>
      </x:c>
      <x:c r="K28" s="19" t="n">
        <x:f>ROUND(E28/7,2)</x:f>
        <x:v>16.29</x:v>
      </x:c>
      <x:c r="L28" s="19" t="n">
        <x:f>ROUND(E28/7,2)</x:f>
        <x:v>16.29</x:v>
      </x:c>
      <x:c r="M28" s="19" t="n">
        <x:f>ROUND(E28/7,2)</x:f>
        <x:v>16.29</x:v>
      </x:c>
      <x:c r="N28" s="19" t="n">
        <x:f>ROUND(E28/7,2)</x:f>
        <x:v>16.29</x:v>
      </x:c>
      <x:c r="O28" s="19" t="n">
        <x:f>E28-SUM(I28,J28,K28,L28,M28,N28)</x:f>
        <x:v>16.26000000000002</x:v>
      </x:c>
      <x:c r="P28" s="19" t="n">
        <x:f>E28-SUM(I28:O28)</x:f>
        <x:v>0</x:v>
      </x:c>
      <x:c r="Q28" s="2" t="str">
        <x:v>Pending</x:v>
      </x:c>
    </x:row>
    <x:row r="29" ht="43" customHeight="1">
      <x:c r="A29" s="73" t="str">
        <x:v>SC21</x:v>
      </x:c>
      <x:c r="B29" s="73" t="n">
        <x:v>8</x:v>
      </x:c>
      <x:c r="C29" s="73" t="str">
        <x:v>27 Oct</x:v>
      </x:c>
      <x:c r="D29" s="74" t="str">
        <x:v>Pizza Hut, Colombo airport</x:v>
      </x:c>
      <x:c r="E29" s="79" t="n">
        <x:v>6100</x:v>
      </x:c>
      <x:c r="F29" s="73" t="str">
        <x:v>Group</x:v>
      </x:c>
      <x:c r="G29" s="74" t="str">
        <x:v>Rushang, Rushabh, Bhoomi, Pranav, Divya, Pankaj, Jinal</x:v>
      </x:c>
      <x:c r="H29" s="73" t="n">
        <x:v>7</x:v>
      </x:c>
      <x:c r="I29" s="77" t="n">
        <x:f>ROUND(E29/7,2)</x:f>
        <x:v>871.43</x:v>
      </x:c>
      <x:c r="J29" s="77" t="n">
        <x:f>ROUND(E29/7,2)</x:f>
        <x:v>871.43</x:v>
      </x:c>
      <x:c r="K29" s="77" t="n">
        <x:f>ROUND(E29/7,2)</x:f>
        <x:v>871.43</x:v>
      </x:c>
      <x:c r="L29" s="77" t="n">
        <x:f>ROUND(E29/7,2)</x:f>
        <x:v>871.43</x:v>
      </x:c>
      <x:c r="M29" s="77" t="n">
        <x:f>ROUND(E29/7,2)</x:f>
        <x:v>871.43</x:v>
      </x:c>
      <x:c r="N29" s="77" t="n">
        <x:f>ROUND(E29/7,2)</x:f>
        <x:v>871.43</x:v>
      </x:c>
      <x:c r="O29" s="77" t="n">
        <x:f>E29-SUM(I29,J29,K29,L29,M29,N29)</x:f>
        <x:v>871.4200000000001</x:v>
      </x:c>
      <x:c r="P29" s="77" t="n">
        <x:f>E29-SUM(I29:O29)</x:f>
        <x:v>0</x:v>
      </x:c>
      <x:c r="Q29" s="73" t="str">
        <x:v>Pending</x:v>
      </x:c>
    </x:row>
    <x:row r="30" ht="27" customHeight="1">
      <x:c r="A30" s="76"/>
      <x:c r="B30" s="76"/>
      <x:c r="C30" s="76"/>
      <x:c r="D30" s="76" t="str">
        <x:v>Total card charges</x:v>
      </x:c>
      <x:c r="E30" s="78" t="n">
        <x:f>SUM(E9:E29)</x:f>
        <x:v>54238</x:v>
      </x:c>
      <x:c r="F30" s="76"/>
      <x:c r="G30" s="76"/>
      <x:c r="H30" s="76"/>
      <x:c r="I30" s="78" t="n">
        <x:f>SUM(I9:I29)</x:f>
        <x:v>7629.140000000001</x:v>
      </x:c>
      <x:c r="J30" s="78" t="n">
        <x:f>SUM(J9:J29)</x:f>
        <x:v>6673.340000000001</x:v>
      </x:c>
      <x:c r="K30" s="78" t="n">
        <x:f>SUM(K9:K29)</x:f>
        <x:v>6312.010000000001</x:v>
      </x:c>
      <x:c r="L30" s="78" t="n">
        <x:f>SUM(L9:L29)</x:f>
        <x:v>11458.810000000001</x:v>
      </x:c>
      <x:c r="M30" s="78" t="n">
        <x:f>SUM(M9:M29)</x:f>
        <x:v>7267.810000000001</x:v>
      </x:c>
      <x:c r="N30" s="78" t="n">
        <x:f>SUM(N9:N29)</x:f>
        <x:v>7629.1500000000015</x:v>
      </x:c>
      <x:c r="O30" s="78" t="n">
        <x:f>SUM(O9:O29)</x:f>
        <x:v>7267.74</x:v>
      </x:c>
      <x:c r="P30" s="78" t="n">
        <x:f>SUM(P9:P29)</x:f>
        <x:v>0</x:v>
      </x:c>
      <x:c r="Q30" s="76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7" customHeight="1">
      <x:c r="A32" s="2"/>
      <x:c r="B32" s="2"/>
      <x:c r="C32" s="2"/>
      <x:c r="D32" s="2" t="str">
        <x:v>Group settlement total</x:v>
      </x:c>
      <x:c r="E32" s="19" t="n">
        <x:f>SUMIFS(E9:E29,F9:F29,"Group")</x:f>
        <x:v>50047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7" customHeight="1">
      <x:c r="A33" s="2"/>
      <x:c r="B33" s="2"/>
      <x:c r="C33" s="2"/>
      <x:c r="D33" s="2" t="str">
        <x:v>Pranav-only total</x:v>
      </x:c>
      <x:c r="E33" s="19" t="n">
        <x:f>SUMIFS(E9:E29,F9:F29,"Pranav separate")</x:f>
        <x:v>4191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7" customHeight="1">
      <x:c r="A35" s="2" t="str">
        <x:v>Both ₹114 toll entries are retained as supplied. Confirm the unnamed ₹1,084 purchase and “Track” against the statement.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7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</x:sheetData>
  <x:dataValidations count="1">
    <x:dataValidation type="list" sqref="Q9:Q29">
      <x:formula1>"Pending,Verified,Query"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27294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9" hidden="0" customWidth="1"/>
    <x:col min="5" max="5" width="43" hidden="0" customWidth="1"/>
    <x:col min="6" max="6" width="11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3" t="str">
        <x:v>Personal spending from pooled cash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7" customHeight="1">
      <x:c r="A4" s="2" t="str">
        <x:v>Only the six personal pooled entries are tracked. Common cash purchases and the full LKR cash balance are not required.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7" customHeight="1">
      <x:c r="A6" s="2" t="str">
        <x:v>INR per LKR</x:v>
      </x:c>
      <x:c r="B6" s="82" t="n">
        <x:v>0.26</x:v>
      </x:c>
      <x:c r="C6" s="2"/>
      <x:c r="D6" s="2" t="str">
        <x:v>Source: user-agreed conversion rate, ₹0.26 per LKR.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7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7" customHeight="1">
      <x:c r="A8" s="2" t="str">
        <x:v>Each personal draw is charged to its users. An equal pool credit goes to all 7 contributors, reallocating the existing ₹1,05,000 cash cost.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7" customHeight="1">
      <x:c r="A9" s="2" t="str">
        <x:v>Amounts in the seven personal allocation columns are INR. Entry dates were not supplied.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7" customHeight="1">
      <x:c r="A10" s="2" t="str">
        <x:v>Detailed pooled entries are below, followed by each contributor’s usage, equal credit, net adjustment and revised cash cost.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42" customHeight="1">
      <x:c r="A13" s="72" t="str">
        <x:v>ID</x:v>
      </x:c>
      <x:c r="B13" s="72" t="str">
        <x:v>Description</x:v>
      </x:c>
      <x:c r="C13" s="72" t="str">
        <x:v>Amount (LKR)</x:v>
      </x:c>
      <x:c r="D13" s="72" t="str">
        <x:v>Converted INR</x:v>
      </x:c>
      <x:c r="E13" s="72" t="str">
        <x:v>Beneficiaries</x:v>
      </x:c>
      <x:c r="F13" s="72" t="str">
        <x:v>Adults</x:v>
      </x:c>
      <x:c r="G13" s="72" t="str">
        <x:v>Rushang</x:v>
      </x:c>
      <x:c r="H13" s="72" t="str">
        <x:v>Rushabh</x:v>
      </x:c>
      <x:c r="I13" s="72" t="str">
        <x:v>Bhoomi</x:v>
      </x:c>
      <x:c r="J13" s="72" t="str">
        <x:v>Pranav</x:v>
      </x:c>
      <x:c r="K13" s="72" t="str">
        <x:v>Divya</x:v>
      </x:c>
      <x:c r="L13" s="72" t="str">
        <x:v>Pankaj</x:v>
      </x:c>
      <x:c r="M13" s="72" t="str">
        <x:v>Jinal</x:v>
      </x:c>
    </x:row>
    <x:row r="14" ht="43" customHeight="1">
      <x:c r="A14" s="73" t="str">
        <x:v>PC01</x:v>
      </x:c>
      <x:c r="B14" s="74" t="str">
        <x:v>Bracelets for Pranav</x:v>
      </x:c>
      <x:c r="C14" s="86" t="n">
        <x:v>1950</x:v>
      </x:c>
      <x:c r="D14" s="77" t="n">
        <x:f>ROUND(C14*$B$6,2)</x:f>
        <x:v>507</x:v>
      </x:c>
      <x:c r="E14" s="74" t="str">
        <x:v>Pranav</x:v>
      </x:c>
      <x:c r="F14" s="73" t="n">
        <x:v>1</x:v>
      </x:c>
      <x:c r="G14" s="77" t="n">
        <x:v>0</x:v>
      </x:c>
      <x:c r="H14" s="77" t="n">
        <x:v>0</x:v>
      </x:c>
      <x:c r="I14" s="77" t="n">
        <x:v>0</x:v>
      </x:c>
      <x:c r="J14" s="77" t="n">
        <x:f>D14</x:f>
        <x:v>507</x:v>
      </x:c>
      <x:c r="K14" s="77" t="n">
        <x:v>0</x:v>
      </x:c>
      <x:c r="L14" s="77" t="n">
        <x:v>0</x:v>
      </x:c>
      <x:c r="M14" s="77" t="n">
        <x:v>0</x:v>
      </x:c>
    </x:row>
    <x:row r="15" ht="43" customHeight="1">
      <x:c r="A15" s="2" t="str">
        <x:v>PC02</x:v>
      </x:c>
      <x:c r="B15" s="23" t="str">
        <x:v>Cake for Rushang</x:v>
      </x:c>
      <x:c r="C15" s="87" t="n">
        <x:v>2600</x:v>
      </x:c>
      <x:c r="D15" s="19" t="n">
        <x:f>ROUND(C15*$B$6,2)</x:f>
        <x:v>676</x:v>
      </x:c>
      <x:c r="E15" s="23" t="str">
        <x:v>Rushang</x:v>
      </x:c>
      <x:c r="F15" s="2" t="n">
        <x:v>1</x:v>
      </x:c>
      <x:c r="G15" s="19" t="n">
        <x:f>D15</x:f>
        <x:v>676</x:v>
      </x:c>
      <x:c r="H15" s="19" t="n">
        <x:v>0</x:v>
      </x:c>
      <x:c r="I15" s="19" t="n">
        <x:v>0</x:v>
      </x:c>
      <x:c r="J15" s="19" t="n">
        <x:v>0</x:v>
      </x:c>
      <x:c r="K15" s="19" t="n">
        <x:v>0</x:v>
      </x:c>
      <x:c r="L15" s="19" t="n">
        <x:v>0</x:v>
      </x:c>
      <x:c r="M15" s="19" t="n">
        <x:v>0</x:v>
      </x:c>
    </x:row>
    <x:row r="16" ht="43" customHeight="1">
      <x:c r="A16" s="73" t="str">
        <x:v>PC03</x:v>
      </x:c>
      <x:c r="B16" s="74" t="str">
        <x:v>Personal juice, first entry</x:v>
      </x:c>
      <x:c r="C16" s="86" t="n">
        <x:v>3700</x:v>
      </x:c>
      <x:c r="D16" s="77" t="n">
        <x:f>ROUND(C16*$B$6,2)</x:f>
        <x:v>962</x:v>
      </x:c>
      <x:c r="E16" s="74" t="str">
        <x:v>Rushang, Rushabh, Pankaj</x:v>
      </x:c>
      <x:c r="F16" s="73" t="n">
        <x:v>3</x:v>
      </x:c>
      <x:c r="G16" s="77" t="n">
        <x:f>ROUND(D16/3,2)</x:f>
        <x:v>320.67</x:v>
      </x:c>
      <x:c r="H16" s="77" t="n">
        <x:f>ROUND(D16/3,2)</x:f>
        <x:v>320.67</x:v>
      </x:c>
      <x:c r="I16" s="77" t="n">
        <x:v>0</x:v>
      </x:c>
      <x:c r="J16" s="77" t="n">
        <x:v>0</x:v>
      </x:c>
      <x:c r="K16" s="77" t="n">
        <x:v>0</x:v>
      </x:c>
      <x:c r="L16" s="77" t="n">
        <x:f>D16-SUM(G16,H16)</x:f>
        <x:v>320.65999999999997</x:v>
      </x:c>
      <x:c r="M16" s="77" t="n">
        <x:v>0</x:v>
      </x:c>
    </x:row>
    <x:row r="17" ht="43" customHeight="1">
      <x:c r="A17" s="2" t="str">
        <x:v>PC04</x:v>
      </x:c>
      <x:c r="B17" s="23" t="str">
        <x:v>Personal juice, second entry</x:v>
      </x:c>
      <x:c r="C17" s="87" t="n">
        <x:v>3400</x:v>
      </x:c>
      <x:c r="D17" s="19" t="n">
        <x:f>ROUND(C17*$B$6,2)</x:f>
        <x:v>884</x:v>
      </x:c>
      <x:c r="E17" s="23" t="str">
        <x:v>Rushang, Rushabh, Pankaj</x:v>
      </x:c>
      <x:c r="F17" s="2" t="n">
        <x:v>3</x:v>
      </x:c>
      <x:c r="G17" s="19" t="n">
        <x:f>ROUND(D17/3,2)</x:f>
        <x:v>294.67</x:v>
      </x:c>
      <x:c r="H17" s="19" t="n">
        <x:f>ROUND(D17/3,2)</x:f>
        <x:v>294.67</x:v>
      </x:c>
      <x:c r="I17" s="19" t="n">
        <x:v>0</x:v>
      </x:c>
      <x:c r="J17" s="19" t="n">
        <x:v>0</x:v>
      </x:c>
      <x:c r="K17" s="19" t="n">
        <x:v>0</x:v>
      </x:c>
      <x:c r="L17" s="19" t="n">
        <x:f>D17-SUM(G17,H17)</x:f>
        <x:v>294.65999999999997</x:v>
      </x:c>
      <x:c r="M17" s="19" t="n">
        <x:v>0</x:v>
      </x:c>
    </x:row>
    <x:row r="18" ht="43" customHeight="1">
      <x:c r="A18" s="73" t="str">
        <x:v>PC05</x:v>
      </x:c>
      <x:c r="B18" s="74" t="str">
        <x:v>Zouke Cafe cab, first entry</x:v>
      </x:c>
      <x:c r="C18" s="86" t="n">
        <x:v>2870</x:v>
      </x:c>
      <x:c r="D18" s="77" t="n">
        <x:f>ROUND(C18*$B$6,2)</x:f>
        <x:v>746.2</x:v>
      </x:c>
      <x:c r="E18" s="74" t="str">
        <x:v>Rushang, Pranav, Divya, Pankaj, Jinal</x:v>
      </x:c>
      <x:c r="F18" s="73" t="n">
        <x:v>5</x:v>
      </x:c>
      <x:c r="G18" s="77" t="n">
        <x:f>ROUND(D18/5,2)</x:f>
        <x:v>149.24</x:v>
      </x:c>
      <x:c r="H18" s="77" t="n">
        <x:v>0</x:v>
      </x:c>
      <x:c r="I18" s="77" t="n">
        <x:v>0</x:v>
      </x:c>
      <x:c r="J18" s="77" t="n">
        <x:f>ROUND(D18/5,2)</x:f>
        <x:v>149.24</x:v>
      </x:c>
      <x:c r="K18" s="77" t="n">
        <x:f>ROUND(D18/5,2)</x:f>
        <x:v>149.24</x:v>
      </x:c>
      <x:c r="L18" s="77" t="n">
        <x:f>ROUND(D18/5,2)</x:f>
        <x:v>149.24</x:v>
      </x:c>
      <x:c r="M18" s="77" t="n">
        <x:f>D18-SUM(G18,J18,K18,L18)</x:f>
        <x:v>149.24</x:v>
      </x:c>
    </x:row>
    <x:row r="19" ht="43" customHeight="1">
      <x:c r="A19" s="2" t="str">
        <x:v>PC06</x:v>
      </x:c>
      <x:c r="B19" s="23" t="str">
        <x:v>Zouke Cafe cab, second entry</x:v>
      </x:c>
      <x:c r="C19" s="87" t="n">
        <x:v>3322</x:v>
      </x:c>
      <x:c r="D19" s="19" t="n">
        <x:f>ROUND(C19*$B$6,2)</x:f>
        <x:v>863.72</x:v>
      </x:c>
      <x:c r="E19" s="23" t="str">
        <x:v>Rushang, Pranav, Divya, Pankaj, Jinal</x:v>
      </x:c>
      <x:c r="F19" s="2" t="n">
        <x:v>5</x:v>
      </x:c>
      <x:c r="G19" s="19" t="n">
        <x:f>ROUND(D19/5,2)</x:f>
        <x:v>172.74</x:v>
      </x:c>
      <x:c r="H19" s="19" t="n">
        <x:v>0</x:v>
      </x:c>
      <x:c r="I19" s="19" t="n">
        <x:v>0</x:v>
      </x:c>
      <x:c r="J19" s="19" t="n">
        <x:f>ROUND(D19/5,2)</x:f>
        <x:v>172.74</x:v>
      </x:c>
      <x:c r="K19" s="19" t="n">
        <x:f>ROUND(D19/5,2)</x:f>
        <x:v>172.74</x:v>
      </x:c>
      <x:c r="L19" s="19" t="n">
        <x:f>ROUND(D19/5,2)</x:f>
        <x:v>172.74</x:v>
      </x:c>
      <x:c r="M19" s="19" t="n">
        <x:f>D19-SUM(G19,J19,K19,L19)</x:f>
        <x:v>172.76</x:v>
      </x:c>
    </x:row>
    <x:row r="20" ht="27" customHeight="1">
      <x:c r="A20" s="76"/>
      <x:c r="B20" s="76" t="str">
        <x:v>Total personal pool use</x:v>
      </x:c>
      <x:c r="C20" s="85" t="n">
        <x:f>SUM(C14:C19)</x:f>
        <x:v>17842</x:v>
      </x:c>
      <x:c r="D20" s="78" t="n">
        <x:f>SUM(D14:D19)</x:f>
        <x:v>4638.92</x:v>
      </x:c>
      <x:c r="E20" s="76"/>
      <x:c r="F20" s="76"/>
      <x:c r="G20" s="78" t="n">
        <x:f>SUM(G14:G19)</x:f>
        <x:v>1613.3200000000002</x:v>
      </x:c>
      <x:c r="H20" s="78" t="n">
        <x:f>SUM(H14:H19)</x:f>
        <x:v>615.34</x:v>
      </x:c>
      <x:c r="I20" s="78" t="n">
        <x:f>SUM(I14:I19)</x:f>
        <x:v>0</x:v>
      </x:c>
      <x:c r="J20" s="78" t="n">
        <x:f>SUM(J14:J19)</x:f>
        <x:v>828.98</x:v>
      </x:c>
      <x:c r="K20" s="78" t="n">
        <x:f>SUM(K14:K19)</x:f>
        <x:v>321.98</x:v>
      </x:c>
      <x:c r="L20" s="78" t="n">
        <x:f>SUM(L14:L19)</x:f>
        <x:v>937.3</x:v>
      </x:c>
      <x:c r="M20" s="78" t="n">
        <x:f>SUM(M14:M19)</x:f>
        <x:v>322</x:v>
      </x:c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42" customHeight="1">
      <x:c r="A23" s="72" t="str">
        <x:v>Adult</x:v>
      </x:c>
      <x:c r="B23" s="72" t="str">
        <x:v>Personal use INR</x:v>
      </x:c>
      <x:c r="C23" s="72" t="str">
        <x:v>Equal pool credit</x:v>
      </x:c>
      <x:c r="D23" s="72" t="str">
        <x:v>Net pool credit</x:v>
      </x:c>
      <x:c r="E23" s="72" t="str">
        <x:v>Revised cash cost</x:v>
      </x:c>
      <x:c r="F23" s="2"/>
      <x:c r="G23" s="2"/>
      <x:c r="H23" s="2"/>
      <x:c r="I23" s="2"/>
      <x:c r="J23" s="2"/>
      <x:c r="K23" s="2"/>
      <x:c r="L23" s="2"/>
      <x:c r="M23" s="2"/>
    </x:row>
    <x:row r="24" ht="27" customHeight="1">
      <x:c r="A24" s="73" t="str">
        <x:v>Rushang</x:v>
      </x:c>
      <x:c r="B24" s="77" t="n">
        <x:f>G20</x:f>
        <x:v>1613.3200000000002</x:v>
      </x:c>
      <x:c r="C24" s="77" t="n">
        <x:f>ROUND($D$20/7,2)</x:f>
        <x:v>662.7</x:v>
      </x:c>
      <x:c r="D24" s="77" t="n">
        <x:f>C24-B24</x:f>
        <x:v>-950.6200000000001</x:v>
      </x:c>
      <x:c r="E24" s="77" t="n">
        <x:f>'Shared expenses'!D27-D24</x:f>
        <x:v>15950.62</x:v>
      </x:c>
      <x:c r="F24" s="2"/>
      <x:c r="G24" s="2"/>
      <x:c r="H24" s="2"/>
      <x:c r="I24" s="2"/>
      <x:c r="J24" s="2"/>
      <x:c r="K24" s="2"/>
      <x:c r="L24" s="2"/>
      <x:c r="M24" s="2"/>
    </x:row>
    <x:row r="25" ht="27" customHeight="1">
      <x:c r="A25" s="2" t="str">
        <x:v>Rushabh</x:v>
      </x:c>
      <x:c r="B25" s="19" t="n">
        <x:f>H20</x:f>
        <x:v>615.34</x:v>
      </x:c>
      <x:c r="C25" s="19" t="n">
        <x:f>ROUND($D$20/7,2)</x:f>
        <x:v>662.7</x:v>
      </x:c>
      <x:c r="D25" s="19" t="n">
        <x:f>C25-B25</x:f>
        <x:v>47.360000000000014</x:v>
      </x:c>
      <x:c r="E25" s="19" t="n">
        <x:f>'Shared expenses'!D28-D25</x:f>
        <x:v>14952.64</x:v>
      </x:c>
      <x:c r="F25" s="2"/>
      <x:c r="G25" s="2"/>
      <x:c r="H25" s="2"/>
      <x:c r="I25" s="2"/>
      <x:c r="J25" s="2"/>
      <x:c r="K25" s="2"/>
      <x:c r="L25" s="2"/>
      <x:c r="M25" s="2"/>
    </x:row>
    <x:row r="26" ht="27" customHeight="1">
      <x:c r="A26" s="73" t="str">
        <x:v>Bhoomi</x:v>
      </x:c>
      <x:c r="B26" s="77" t="n">
        <x:f>I20</x:f>
        <x:v>0</x:v>
      </x:c>
      <x:c r="C26" s="77" t="n">
        <x:f>ROUND($D$20/7,2)</x:f>
        <x:v>662.7</x:v>
      </x:c>
      <x:c r="D26" s="77" t="n">
        <x:f>C26-B26</x:f>
        <x:v>662.7</x:v>
      </x:c>
      <x:c r="E26" s="77" t="n">
        <x:f>'Shared expenses'!D29-D26</x:f>
        <x:v>14337.3</x:v>
      </x:c>
      <x:c r="F26" s="2"/>
      <x:c r="G26" s="2"/>
      <x:c r="H26" s="2"/>
      <x:c r="I26" s="2"/>
      <x:c r="J26" s="2"/>
      <x:c r="K26" s="2"/>
      <x:c r="L26" s="2"/>
      <x:c r="M26" s="2"/>
    </x:row>
    <x:row r="27" ht="27" customHeight="1">
      <x:c r="A27" s="2" t="str">
        <x:v>Pranav</x:v>
      </x:c>
      <x:c r="B27" s="19" t="n">
        <x:f>J20</x:f>
        <x:v>828.98</x:v>
      </x:c>
      <x:c r="C27" s="19" t="n">
        <x:f>ROUND($D$20/7,2)</x:f>
        <x:v>662.7</x:v>
      </x:c>
      <x:c r="D27" s="19" t="n">
        <x:f>C27-B27</x:f>
        <x:v>-166.27999999999997</x:v>
      </x:c>
      <x:c r="E27" s="19" t="n">
        <x:f>'Shared expenses'!D30-D27</x:f>
        <x:v>15166.28</x:v>
      </x:c>
      <x:c r="F27" s="2"/>
      <x:c r="G27" s="2"/>
      <x:c r="H27" s="2"/>
      <x:c r="I27" s="2"/>
      <x:c r="J27" s="2"/>
      <x:c r="K27" s="2"/>
      <x:c r="L27" s="2"/>
      <x:c r="M27" s="2"/>
    </x:row>
    <x:row r="28" ht="27" customHeight="1">
      <x:c r="A28" s="73" t="str">
        <x:v>Divya</x:v>
      </x:c>
      <x:c r="B28" s="77" t="n">
        <x:f>K20</x:f>
        <x:v>321.98</x:v>
      </x:c>
      <x:c r="C28" s="77" t="n">
        <x:f>ROUND($D$20/7,2)</x:f>
        <x:v>662.7</x:v>
      </x:c>
      <x:c r="D28" s="77" t="n">
        <x:f>C28-B28</x:f>
        <x:v>340.72</x:v>
      </x:c>
      <x:c r="E28" s="77" t="n">
        <x:f>'Shared expenses'!D31-D28</x:f>
        <x:v>14659.28</x:v>
      </x:c>
      <x:c r="F28" s="2"/>
      <x:c r="G28" s="2"/>
      <x:c r="H28" s="2"/>
      <x:c r="I28" s="2"/>
      <x:c r="J28" s="2"/>
      <x:c r="K28" s="2"/>
      <x:c r="L28" s="2"/>
      <x:c r="M28" s="2"/>
    </x:row>
    <x:row r="29" ht="27" customHeight="1">
      <x:c r="A29" s="2" t="str">
        <x:v>Pankaj</x:v>
      </x:c>
      <x:c r="B29" s="19" t="n">
        <x:f>L20</x:f>
        <x:v>937.3</x:v>
      </x:c>
      <x:c r="C29" s="19" t="n">
        <x:f>ROUND($D$20/7,2)</x:f>
        <x:v>662.7</x:v>
      </x:c>
      <x:c r="D29" s="19" t="n">
        <x:f>C29-B29</x:f>
        <x:v>-274.5999999999999</x:v>
      </x:c>
      <x:c r="E29" s="19" t="n">
        <x:f>'Shared expenses'!D32-D29</x:f>
        <x:v>15274.6</x:v>
      </x:c>
      <x:c r="F29" s="2"/>
      <x:c r="G29" s="2"/>
      <x:c r="H29" s="2"/>
      <x:c r="I29" s="2"/>
      <x:c r="J29" s="2"/>
      <x:c r="K29" s="2"/>
      <x:c r="L29" s="2"/>
      <x:c r="M29" s="2"/>
    </x:row>
    <x:row r="30" ht="27" customHeight="1">
      <x:c r="A30" s="73" t="str">
        <x:v>Jinal</x:v>
      </x:c>
      <x:c r="B30" s="77" t="n">
        <x:f>M20</x:f>
        <x:v>322</x:v>
      </x:c>
      <x:c r="C30" s="77" t="n">
        <x:f>$D$20-SUM(C24:C29)</x:f>
        <x:v>662.7200000000003</x:v>
      </x:c>
      <x:c r="D30" s="77" t="n">
        <x:f>C30-B30</x:f>
        <x:v>340.72000000000025</x:v>
      </x:c>
      <x:c r="E30" s="77" t="n">
        <x:f>'Shared expenses'!D33-D30</x:f>
        <x:v>14659.279999999999</x:v>
      </x:c>
      <x:c r="F30" s="2"/>
      <x:c r="G30" s="2"/>
      <x:c r="H30" s="2"/>
      <x:c r="I30" s="2"/>
      <x:c r="J30" s="2"/>
      <x:c r="K30" s="2"/>
      <x:c r="L30" s="2"/>
      <x:c r="M30" s="2"/>
    </x:row>
    <x:row r="31" ht="27" customHeight="1">
      <x:c r="A31" s="76" t="str">
        <x:v>Total</x:v>
      </x:c>
      <x:c r="B31" s="78" t="n">
        <x:f>SUM(B24:B30)</x:f>
        <x:v>4638.92</x:v>
      </x:c>
      <x:c r="C31" s="78" t="n">
        <x:f>SUM(C24:C30)</x:f>
        <x:v>4638.92</x:v>
      </x:c>
      <x:c r="D31" s="78" t="n">
        <x:f>SUM(D24:D30)</x:f>
        <x:v>3.410605131648481e-13</x:v>
      </x:c>
      <x:c r="E31" s="78" t="n">
        <x:f>SUM(E24:E30)</x:f>
        <x:v>105000</x:v>
      </x:c>
      <x:c r="F31" s="2"/>
      <x:c r="G31" s="2"/>
      <x:c r="H31" s="2"/>
      <x:c r="I31" s="2"/>
      <x:c r="J31" s="2"/>
      <x:c r="K31" s="2"/>
      <x:c r="L31" s="2"/>
      <x:c r="M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7" customHeight="1">
      <x:c r="A33" s="2" t="str">
        <x:v>Positive net pool credit increases the amount to receive / reduces the amount to pay in group balances.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7" customHeight="1">
      <x:c r="A34" s="2" t="str">
        <x:v>₹15,000 cash per adult is the starting cost. Equal personal-use credit is rounded to paise; Jinal takes the ₹0.02 rounding remainder.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7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27294"/>
  </x:sheetPr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37" hidden="0" customWidth="1"/>
    <x:col min="4" max="4" width="21" hidden="0" customWidth="1"/>
    <x:col min="5" max="5" width="21" hidden="0" customWidth="1"/>
    <x:col min="6" max="6" width="36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27" customHeight="1">
      <x:c r="A2" s="3" t="str">
        <x:v>Pranav payments and allocations</x:v>
      </x:c>
      <x:c r="B2" s="2"/>
      <x:c r="C2" s="2"/>
      <x:c r="D2" s="2"/>
      <x:c r="E2" s="2"/>
      <x:c r="F2" s="2"/>
    </x:row>
    <x:row r="3" ht="27" customHeight="1">
      <x:c r="A3" s="2"/>
      <x:c r="B3" s="2"/>
      <x:c r="C3" s="2"/>
      <x:c r="D3" s="2"/>
      <x:c r="E3" s="2"/>
      <x:c r="F3" s="2"/>
    </x:row>
    <x:row r="4" ht="27" customHeight="1">
      <x:c r="A4" s="2" t="str">
        <x:v>Direct Rushang-to-Pranav costs settle separately. Pranav’s shared Scapia allocations stay in the group settlement.</x:v>
      </x:c>
      <x:c r="B4" s="2"/>
      <x:c r="C4" s="2"/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42" customHeight="1">
      <x:c r="A6" s="72" t="str">
        <x:v>Reference</x:v>
      </x:c>
      <x:c r="B6" s="72" t="str">
        <x:v>Date</x:v>
      </x:c>
      <x:c r="C6" s="72" t="str">
        <x:v>Personal expense</x:v>
      </x:c>
      <x:c r="D6" s="72" t="str">
        <x:v>Owed to Rushang</x:v>
      </x:c>
      <x:c r="E6" s="72" t="str">
        <x:v>Treatment</x:v>
      </x:c>
      <x:c r="F6" s="72" t="str">
        <x:v>Status</x:v>
      </x:c>
    </x:row>
    <x:row r="7" ht="27" customHeight="1">
      <x:c r="A7" s="73" t="str">
        <x:v>Flight</x:v>
      </x:c>
      <x:c r="B7" s="73" t="str">
        <x:v>General</x:v>
      </x:c>
      <x:c r="C7" s="73" t="str">
        <x:v>Flight advance</x:v>
      </x:c>
      <x:c r="D7" s="77" t="n">
        <x:f>Flights!C26</x:f>
        <x:v>21500</x:v>
      </x:c>
      <x:c r="E7" s="73" t="str">
        <x:v>Separate debt</x:v>
      </x:c>
      <x:c r="F7" s="73" t="str">
        <x:v>Not yet paid</x:v>
      </x:c>
    </x:row>
    <x:row r="8" ht="27" customHeight="1">
      <x:c r="A8" s="2" t="str">
        <x:f>Scapia!A10</x:f>
        <x:v>SC02</x:v>
      </x:c>
      <x:c r="B8" s="2" t="str">
        <x:f>Scapia!C10</x:f>
        <x:v>22 Oct</x:v>
      </x:c>
      <x:c r="C8" s="2" t="str">
        <x:f>Scapia!D10</x:f>
        <x:v>Galle magnet for Pranav</x:v>
      </x:c>
      <x:c r="D8" s="19" t="n">
        <x:f>Scapia!E10</x:f>
        <x:v>285</x:v>
      </x:c>
      <x:c r="E8" s="2" t="str">
        <x:v>Separate debt</x:v>
      </x:c>
      <x:c r="F8" s="2" t="str">
        <x:v>Not yet paid</x:v>
      </x:c>
    </x:row>
    <x:row r="9" ht="27" customHeight="1">
      <x:c r="A9" s="73" t="str">
        <x:f>Scapia!A13</x:f>
        <x:v>SC05</x:v>
      </x:c>
      <x:c r="B9" s="73" t="str">
        <x:f>Scapia!C13</x:f>
        <x:v>23 Oct</x:v>
      </x:c>
      <x:c r="C9" s="73" t="str">
        <x:f>Scapia!D13</x:f>
        <x:v>Tea packet for Pranav home</x:v>
      </x:c>
      <x:c r="D9" s="77" t="n">
        <x:f>Scapia!E13</x:f>
        <x:v>286</x:v>
      </x:c>
      <x:c r="E9" s="73" t="str">
        <x:v>Separate debt</x:v>
      </x:c>
      <x:c r="F9" s="73" t="str">
        <x:v>Not yet paid</x:v>
      </x:c>
    </x:row>
    <x:row r="10" ht="27" customHeight="1">
      <x:c r="A10" s="2" t="str">
        <x:f>Scapia!A17</x:f>
        <x:v>SC09</x:v>
      </x:c>
      <x:c r="B10" s="2" t="str">
        <x:f>Scapia!C17</x:f>
        <x:v>25 Oct</x:v>
      </x:c>
      <x:c r="C10" s="2" t="str">
        <x:f>Scapia!D17</x:f>
        <x:v>Blue Field tea for Pranav</x:v>
      </x:c>
      <x:c r="D10" s="19" t="n">
        <x:f>Scapia!E17</x:f>
        <x:v>3347</x:v>
      </x:c>
      <x:c r="E10" s="2" t="str">
        <x:v>Separate debt</x:v>
      </x:c>
      <x:c r="F10" s="2" t="str">
        <x:v>Not yet paid</x:v>
      </x:c>
    </x:row>
    <x:row r="11" ht="27" customHeight="1">
      <x:c r="A11" s="73" t="str">
        <x:f>Scapia!A27</x:f>
        <x:v>SC19</x:v>
      </x:c>
      <x:c r="B11" s="73" t="str">
        <x:f>Scapia!C27</x:f>
        <x:v>27 Oct</x:v>
      </x:c>
      <x:c r="C11" s="73" t="str">
        <x:f>Scapia!D27</x:f>
        <x:v>Colombo mall for Pranav</x:v>
      </x:c>
      <x:c r="D11" s="77" t="n">
        <x:f>Scapia!E27</x:f>
        <x:v>273</x:v>
      </x:c>
      <x:c r="E11" s="73" t="str">
        <x:v>Separate debt</x:v>
      </x:c>
      <x:c r="F11" s="73" t="str">
        <x:v>Not yet paid</x:v>
      </x:c>
    </x:row>
    <x:row r="12" ht="27" customHeight="1">
      <x:c r="A12" s="2"/>
      <x:c r="B12" s="2"/>
      <x:c r="C12" s="2" t="str">
        <x:v>Personal Scapia subtotal</x:v>
      </x:c>
      <x:c r="D12" s="19" t="n">
        <x:f>SUM(D8:D11)</x:f>
        <x:v>4191</x:v>
      </x:c>
      <x:c r="E12" s="2"/>
      <x:c r="F12" s="2"/>
    </x:row>
    <x:row r="13" ht="27" customHeight="1">
      <x:c r="A13" s="76"/>
      <x:c r="B13" s="76"/>
      <x:c r="C13" s="76" t="str">
        <x:v>Total separate debt</x:v>
      </x:c>
      <x:c r="D13" s="78" t="n">
        <x:f>SUM(D7:D11)</x:f>
        <x:v>25691</x:v>
      </x:c>
      <x:c r="E13" s="76"/>
      <x:c r="F13" s="76"/>
    </x:row>
    <x:row r="14" ht="27" customHeight="1">
      <x:c r="A14" s="2"/>
      <x:c r="B14" s="2"/>
      <x:c r="C14" s="2"/>
      <x:c r="D14" s="2"/>
      <x:c r="E14" s="2"/>
      <x:c r="F14" s="2"/>
    </x:row>
    <x:row r="15" ht="27" customHeight="1">
      <x:c r="A15" s="2"/>
      <x:c r="B15" s="2"/>
      <x:c r="C15" s="2"/>
      <x:c r="D15" s="2"/>
      <x:c r="E15" s="2"/>
      <x:c r="F15" s="2"/>
    </x:row>
    <x:row r="16" ht="27" customHeight="1">
      <x:c r="A16" s="2" t="str">
        <x:v>Other Pranav allocations</x:v>
      </x:c>
      <x:c r="B16" s="2"/>
      <x:c r="C16" s="2"/>
      <x:c r="D16" s="2"/>
      <x:c r="E16" s="2"/>
      <x:c r="F16" s="2"/>
    </x:row>
    <x:row r="17" ht="27" customHeight="1">
      <x:c r="A17" s="2"/>
      <x:c r="B17" s="2"/>
      <x:c r="C17" s="2" t="str">
        <x:v>Shared Scapia purchases</x:v>
      </x:c>
      <x:c r="D17" s="19" t="n">
        <x:f>SUMIFS(Scapia!L9:L29,Scapia!F9:F29,"Group")</x:f>
        <x:v>7267.810000000001</x:v>
      </x:c>
      <x:c r="E17" s="2"/>
      <x:c r="F17" s="2" t="str">
        <x:v>Already in group balance</x:v>
      </x:c>
    </x:row>
    <x:row r="18" ht="27" customHeight="1">
      <x:c r="A18" s="2"/>
      <x:c r="B18" s="2"/>
      <x:c r="C18" s="2" t="str">
        <x:v>Pooled cash personal use</x:v>
      </x:c>
      <x:c r="D18" s="19" t="n">
        <x:f>'Pool personal'!B27</x:f>
        <x:v>828.98</x:v>
      </x:c>
      <x:c r="E18" s="2"/>
      <x:c r="F18" s="2" t="str">
        <x:v>Already in pool adjustment</x:v>
      </x:c>
    </x:row>
    <x:row r="19" ht="27" customHeight="1">
      <x:c r="A19" s="2"/>
      <x:c r="B19" s="2"/>
      <x:c r="C19" s="2" t="str">
        <x:v>Bracelets within pooled use</x:v>
      </x:c>
      <x:c r="D19" s="19" t="n">
        <x:f>'Pool personal'!J14</x:f>
        <x:v>507</x:v>
      </x:c>
      <x:c r="E19" s="2"/>
      <x:c r="F19" s="2" t="str">
        <x:v>Included in row 18; not extra</x:v>
      </x:c>
    </x:row>
    <x:row r="20" ht="28" customHeight="1">
      <x:c r="A20" s="2"/>
      <x:c r="B20" s="2"/>
      <x:c r="C20" s="2" t="str">
        <x:v>Home cab paid by Pranav</x:v>
      </x:c>
      <x:c r="D20" s="19" t="n">
        <x:f>'Day-wise'!D29</x:f>
        <x:v>584</x:v>
      </x:c>
      <x:c r="E20" s="2"/>
      <x:c r="F20" s="2" t="str">
        <x:v>Already credited in group balance</x:v>
      </x:c>
    </x:row>
    <x:row r="21" ht="27" customHeight="1">
      <x:c r="A21" s="2"/>
      <x:c r="B21" s="2"/>
      <x:c r="C21" s="2"/>
      <x:c r="D21" s="2"/>
      <x:c r="E21" s="2"/>
      <x:c r="F21" s="2"/>
    </x:row>
    <x:row r="22" ht="27" customHeight="1">
      <x:c r="A22" s="2" t="str">
        <x:v>Flight repayment remains ₹21,500 as instructed. The previously flagged ₹500 ticket-funding difference remains outside trip costs.</x:v>
      </x:c>
      <x:c r="B22" s="2"/>
      <x:c r="C22" s="2"/>
      <x:c r="D22" s="2"/>
      <x:c r="E22" s="2"/>
      <x:c r="F22" s="2"/>
    </x:row>
    <x:row r="23" ht="27" customHeight="1">
      <x:c r="A23" s="2"/>
      <x:c r="B23" s="2"/>
      <x:c r="C23" s="2"/>
      <x:c r="D23" s="2"/>
      <x:c r="E23" s="2"/>
      <x:c r="F23" s="2"/>
    </x:row>
    <x:row r="24" ht="27" customHeight="1">
      <x:c r="A24" s="2" t="str">
        <x:v>Personal pooled cash comes from everyone’s pool, not from Rushang’s Scapia card. Do not add it to the separate debt.</x:v>
      </x:c>
      <x:c r="B24" s="2"/>
      <x:c r="C24" s="2"/>
      <x:c r="D24" s="2"/>
      <x:c r="E24" s="2"/>
      <x:c r="F24" s="2"/>
    </x:row>
    <x:row r="25" ht="27" customHeight="1">
      <x:c r="A25" s="2"/>
      <x:c r="B25" s="2"/>
      <x:c r="C25" s="2"/>
      <x:c r="D25" s="2"/>
      <x:c r="E25" s="2"/>
      <x:c r="F25" s="2"/>
    </x:row>
    <x:row r="26" ht="27" customHeight="1">
      <x:c r="A26" s="2"/>
      <x:c r="B26" s="2"/>
      <x:c r="C26" s="2"/>
      <x:c r="D26" s="2"/>
      <x:c r="E26" s="2"/>
      <x:c r="F26" s="2"/>
    </x:row>
    <x:row r="27" ht="27" customHeight="1">
      <x:c r="A27" s="2"/>
      <x:c r="B27" s="2"/>
      <x:c r="C27" s="2"/>
      <x:c r="D27" s="2"/>
      <x:c r="E27" s="2"/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27" customHeight="1">
      <x:c r="A29" s="2"/>
      <x:c r="B29" s="2"/>
      <x:c r="C29" s="2"/>
      <x:c r="D29" s="2"/>
      <x:c r="E29" s="2"/>
      <x:c r="F29" s="2"/>
    </x:row>
    <x:row r="30" ht="27" customHeight="1">
      <x:c r="A30" s="2"/>
      <x:c r="B30" s="2"/>
      <x:c r="C30" s="2"/>
      <x:c r="D30" s="2"/>
      <x:c r="E30" s="2"/>
      <x:c r="F30" s="2"/>
    </x:row>
    <x:row r="31" ht="27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27294"/>
  </x:sheetPr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9" hidden="0" customWidth="1"/>
    <x:col min="4" max="4" width="22" hidden="0" customWidth="1"/>
    <x:col min="5" max="5" width="43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27" customHeight="1">
      <x:c r="A2" s="3" t="str">
        <x:v>Day-wise expense summary</x:v>
      </x:c>
      <x:c r="B2" s="2"/>
      <x:c r="C2" s="2"/>
      <x:c r="D2" s="2"/>
      <x:c r="E2" s="2"/>
      <x:c r="F2" s="2"/>
    </x:row>
    <x:row r="3" ht="27" customHeight="1">
      <x:c r="A3" s="2"/>
      <x:c r="B3" s="2"/>
      <x:c r="C3" s="2"/>
      <x:c r="D3" s="2"/>
      <x:c r="E3" s="2"/>
      <x:c r="F3" s="2"/>
    </x:row>
    <x:row r="4" ht="27" customHeight="1">
      <x:c r="A4" s="2" t="str">
        <x:v>Day-wise Scapia charges are above. The return-home cab section below records personal payments outside Scapia.</x:v>
      </x:c>
      <x:c r="B4" s="2"/>
      <x:c r="C4" s="2"/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42" customHeight="1">
      <x:c r="A6" s="72" t="str">
        <x:v>Day</x:v>
      </x:c>
      <x:c r="B6" s="72" t="str">
        <x:v>Date</x:v>
      </x:c>
      <x:c r="C6" s="72" t="str">
        <x:v>Location / stage</x:v>
      </x:c>
      <x:c r="D6" s="72" t="str">
        <x:v>Group Scapia INR</x:v>
      </x:c>
      <x:c r="E6" s="72" t="str">
        <x:v>Pranav personal INR</x:v>
      </x:c>
      <x:c r="F6" s="72" t="str">
        <x:v>Entry status</x:v>
      </x:c>
    </x:row>
    <x:row r="7" ht="27" customHeight="1">
      <x:c r="A7" s="73" t="n">
        <x:v>1</x:v>
      </x:c>
      <x:c r="B7" s="73" t="str">
        <x:v>20 Oct</x:v>
      </x:c>
      <x:c r="C7" s="73" t="str">
        <x:v>Flight / airport + Mirissa</x:v>
      </x:c>
      <x:c r="D7" s="77" t="n">
        <x:f>SUMIFS(Scapia!$E$9:$E$29,Scapia!$B$9:$B$29,A7,Scapia!$F$9:$F$29,"Group")</x:f>
        <x:v>4965</x:v>
      </x:c>
      <x:c r="E7" s="77" t="n">
        <x:f>SUMIFS(Scapia!$E$9:$E$29,Scapia!$B$9:$B$29,A7,Scapia!$F$9:$F$29,"Pranav separate")</x:f>
        <x:v>0</x:v>
      </x:c>
      <x:c r="F7" s="73" t="str">
        <x:f>IF(COUNTIFS(Scapia!$B$9:$B$29,A7)=0,"No entries supplied","Entries recorded")</x:f>
        <x:v>Entries recorded</x:v>
      </x:c>
    </x:row>
    <x:row r="8" ht="27" customHeight="1">
      <x:c r="A8" s="2" t="n">
        <x:v>2</x:v>
      </x:c>
      <x:c r="B8" s="2" t="str">
        <x:v>21 Oct</x:v>
      </x:c>
      <x:c r="C8" s="2" t="str">
        <x:v>Mirissa</x:v>
      </x:c>
      <x:c r="D8" s="19" t="n">
        <x:f>SUMIFS(Scapia!$E$9:$E$29,Scapia!$B$9:$B$29,A8,Scapia!$F$9:$F$29,"Group")</x:f>
        <x:v>0</x:v>
      </x:c>
      <x:c r="E8" s="19" t="n">
        <x:f>SUMIFS(Scapia!$E$9:$E$29,Scapia!$B$9:$B$29,A8,Scapia!$F$9:$F$29,"Pranav separate")</x:f>
        <x:v>0</x:v>
      </x:c>
      <x:c r="F8" s="2" t="str">
        <x:f>IF(COUNTIFS(Scapia!$B$9:$B$29,A8)=0,"No entries supplied","Entries recorded")</x:f>
        <x:v>No entries supplied</x:v>
      </x:c>
    </x:row>
    <x:row r="9" ht="27" customHeight="1">
      <x:c r="A9" s="73" t="n">
        <x:v>3</x:v>
      </x:c>
      <x:c r="B9" s="73" t="str">
        <x:v>22 Oct</x:v>
      </x:c>
      <x:c r="C9" s="73" t="str">
        <x:v>Mirissa</x:v>
      </x:c>
      <x:c r="D9" s="77" t="n">
        <x:f>SUMIFS(Scapia!$E$9:$E$29,Scapia!$B$9:$B$29,A9,Scapia!$F$9:$F$29,"Group")</x:f>
        <x:v>4779</x:v>
      </x:c>
      <x:c r="E9" s="77" t="n">
        <x:f>SUMIFS(Scapia!$E$9:$E$29,Scapia!$B$9:$B$29,A9,Scapia!$F$9:$F$29,"Pranav separate")</x:f>
        <x:v>285</x:v>
      </x:c>
      <x:c r="F9" s="73" t="str">
        <x:f>IF(COUNTIFS(Scapia!$B$9:$B$29,A9)=0,"No entries supplied","Entries recorded")</x:f>
        <x:v>Entries recorded</x:v>
      </x:c>
    </x:row>
    <x:row r="10" ht="27" customHeight="1">
      <x:c r="A10" s="2" t="n">
        <x:v>4</x:v>
      </x:c>
      <x:c r="B10" s="2" t="str">
        <x:v>23 Oct</x:v>
      </x:c>
      <x:c r="C10" s="2" t="str">
        <x:v>Travel + Nuwara</x:v>
      </x:c>
      <x:c r="D10" s="19" t="n">
        <x:f>SUMIFS(Scapia!$E$9:$E$29,Scapia!$B$9:$B$29,A10,Scapia!$F$9:$F$29,"Group")</x:f>
        <x:v>545</x:v>
      </x:c>
      <x:c r="E10" s="19" t="n">
        <x:f>SUMIFS(Scapia!$E$9:$E$29,Scapia!$B$9:$B$29,A10,Scapia!$F$9:$F$29,"Pranav separate")</x:f>
        <x:v>286</x:v>
      </x:c>
      <x:c r="F10" s="2" t="str">
        <x:f>IF(COUNTIFS(Scapia!$B$9:$B$29,A10)=0,"No entries supplied","Entries recorded")</x:f>
        <x:v>Entries recorded</x:v>
      </x:c>
    </x:row>
    <x:row r="11" ht="27" customHeight="1">
      <x:c r="A11" s="73" t="n">
        <x:v>5</x:v>
      </x:c>
      <x:c r="B11" s="73" t="str">
        <x:v>24 Oct</x:v>
      </x:c>
      <x:c r="C11" s="73" t="str">
        <x:v>Nuwara</x:v>
      </x:c>
      <x:c r="D11" s="77" t="n">
        <x:f>SUMIFS(Scapia!$E$9:$E$29,Scapia!$B$9:$B$29,A11,Scapia!$F$9:$F$29,"Group")</x:f>
        <x:v>4426</x:v>
      </x:c>
      <x:c r="E11" s="77" t="n">
        <x:f>SUMIFS(Scapia!$E$9:$E$29,Scapia!$B$9:$B$29,A11,Scapia!$F$9:$F$29,"Pranav separate")</x:f>
        <x:v>0</x:v>
      </x:c>
      <x:c r="F11" s="73" t="str">
        <x:f>IF(COUNTIFS(Scapia!$B$9:$B$29,A11)=0,"No entries supplied","Entries recorded")</x:f>
        <x:v>Entries recorded</x:v>
      </x:c>
    </x:row>
    <x:row r="12" ht="27" customHeight="1">
      <x:c r="A12" s="2" t="n">
        <x:v>6</x:v>
      </x:c>
      <x:c r="B12" s="2" t="str">
        <x:v>25 Oct</x:v>
      </x:c>
      <x:c r="C12" s="2" t="str">
        <x:v>Travel + Kandy</x:v>
      </x:c>
      <x:c r="D12" s="19" t="n">
        <x:f>SUMIFS(Scapia!$E$9:$E$29,Scapia!$B$9:$B$29,A12,Scapia!$F$9:$F$29,"Group")</x:f>
        <x:v>3804</x:v>
      </x:c>
      <x:c r="E12" s="19" t="n">
        <x:f>SUMIFS(Scapia!$E$9:$E$29,Scapia!$B$9:$B$29,A12,Scapia!$F$9:$F$29,"Pranav separate")</x:f>
        <x:v>3347</x:v>
      </x:c>
      <x:c r="F12" s="2" t="str">
        <x:f>IF(COUNTIFS(Scapia!$B$9:$B$29,A12)=0,"No entries supplied","Entries recorded")</x:f>
        <x:v>Entries recorded</x:v>
      </x:c>
    </x:row>
    <x:row r="13" ht="27" customHeight="1">
      <x:c r="A13" s="73" t="n">
        <x:v>7</x:v>
      </x:c>
      <x:c r="B13" s="73" t="str">
        <x:v>26 Oct</x:v>
      </x:c>
      <x:c r="C13" s="73" t="str">
        <x:v>Travel + Sigiriya</x:v>
      </x:c>
      <x:c r="D13" s="77" t="n">
        <x:f>SUMIFS(Scapia!$E$9:$E$29,Scapia!$B$9:$B$29,A13,Scapia!$F$9:$F$29,"Group")</x:f>
        <x:v>23173</x:v>
      </x:c>
      <x:c r="E13" s="77" t="n">
        <x:f>SUMIFS(Scapia!$E$9:$E$29,Scapia!$B$9:$B$29,A13,Scapia!$F$9:$F$29,"Pranav separate")</x:f>
        <x:v>0</x:v>
      </x:c>
      <x:c r="F13" s="73" t="str">
        <x:f>IF(COUNTIFS(Scapia!$B$9:$B$29,A13)=0,"No entries supplied","Entries recorded")</x:f>
        <x:v>Entries recorded</x:v>
      </x:c>
    </x:row>
    <x:row r="14" ht="27" customHeight="1">
      <x:c r="A14" s="2" t="n">
        <x:v>8</x:v>
      </x:c>
      <x:c r="B14" s="2" t="str">
        <x:v>27 Oct</x:v>
      </x:c>
      <x:c r="C14" s="2" t="str">
        <x:v>Colombo / airport</x:v>
      </x:c>
      <x:c r="D14" s="19" t="n">
        <x:f>SUMIFS(Scapia!$E$9:$E$29,Scapia!$B$9:$B$29,A14,Scapia!$F$9:$F$29,"Group")</x:f>
        <x:v>8355</x:v>
      </x:c>
      <x:c r="E14" s="19" t="n">
        <x:f>SUMIFS(Scapia!$E$9:$E$29,Scapia!$B$9:$B$29,A14,Scapia!$F$9:$F$29,"Pranav separate")</x:f>
        <x:v>273</x:v>
      </x:c>
      <x:c r="F14" s="2" t="str">
        <x:f>IF(COUNTIFS(Scapia!$B$9:$B$29,A14)=0,"No entries supplied","Entries recorded")</x:f>
        <x:v>Entries recorded</x:v>
      </x:c>
    </x:row>
    <x:row r="15" ht="27" customHeight="1">
      <x:c r="A15" s="76"/>
      <x:c r="B15" s="76"/>
      <x:c r="C15" s="76" t="str">
        <x:v>Total</x:v>
      </x:c>
      <x:c r="D15" s="78" t="n">
        <x:f>SUM(D7:D14)</x:f>
        <x:v>50047</x:v>
      </x:c>
      <x:c r="E15" s="78" t="n">
        <x:f>SUM(E7:E14)</x:f>
        <x:v>4191</x:v>
      </x:c>
      <x:c r="F15" s="76"/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2"/>
      <x:c r="B17" s="2"/>
      <x:c r="C17" s="2"/>
      <x:c r="D17" s="2"/>
      <x:c r="E17" s="2"/>
      <x:c r="F17" s="2"/>
    </x:row>
    <x:row r="18" ht="27" customHeight="1">
      <x:c r="A18" s="2" t="str">
        <x:v>Day 1 airport cabs are already in Shared expenses. They have not been added again here.</x:v>
      </x:c>
      <x:c r="B18" s="2"/>
      <x:c r="C18" s="2"/>
      <x:c r="D18" s="2"/>
      <x:c r="E18" s="2"/>
      <x:c r="F18" s="2"/>
    </x:row>
    <x:row r="19" ht="27" customHeight="1">
      <x:c r="A19" s="2" t="str">
        <x:v>Day 3 is treated as 22 Oct, preserving the supplied day number despite the repeated “Mirissa Day 2” label.</x:v>
      </x:c>
      <x:c r="B19" s="2"/>
      <x:c r="C19" s="2"/>
      <x:c r="D19" s="2"/>
      <x:c r="E19" s="2"/>
      <x:c r="F19" s="2"/>
    </x:row>
    <x:row r="20" ht="27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Undated personal pool use</x:v>
      </x:c>
      <x:c r="B21" s="2"/>
      <x:c r="C21" s="2"/>
      <x:c r="D21" s="19" t="n">
        <x:f>'Pool personal'!D20</x:f>
        <x:v>4638.92</x:v>
      </x:c>
      <x:c r="E21" s="2"/>
      <x:c r="F21" s="2"/>
    </x:row>
    <x:row r="22" ht="27" customHeight="1">
      <x:c r="A22" s="2"/>
      <x:c r="B22" s="2"/>
      <x:c r="C22" s="2"/>
      <x:c r="D22" s="2"/>
      <x:c r="E22" s="2"/>
      <x:c r="F22" s="2"/>
    </x:row>
    <x:row r="23" ht="27" customHeight="1">
      <x:c r="A23" s="2" t="str">
        <x:v>This is a running register. Day 2 has no supplied entries; the trip ledger is not marked complete.</x:v>
      </x:c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/>
      <x:c r="B25" s="2"/>
      <x:c r="C25" s="2"/>
      <x:c r="D25" s="2"/>
      <x:c r="E25" s="2"/>
      <x:c r="F25" s="2"/>
    </x:row>
    <x:row r="26" ht="28" customHeight="1">
      <x:c r="A26" s="53" t="str">
        <x:v>Last day: cabs to reach home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42" customHeight="1">
      <x:c r="A28" s="109" t="str">
        <x:v>ID</x:v>
      </x:c>
      <x:c r="B28" s="109" t="str">
        <x:v>Expense</x:v>
      </x:c>
      <x:c r="C28" s="109" t="str">
        <x:v>Paid by</x:v>
      </x:c>
      <x:c r="D28" s="109" t="str">
        <x:v>Amount (INR)</x:v>
      </x:c>
      <x:c r="E28" s="109" t="str">
        <x:v>Beneficiaries</x:v>
      </x:c>
      <x:c r="F28" s="109" t="str">
        <x:v>Adults</x:v>
      </x:c>
      <x:c r="G28" s="109" t="str">
        <x:v>Rushang</x:v>
      </x:c>
      <x:c r="H28" s="109" t="str">
        <x:v>Rushabh</x:v>
      </x:c>
      <x:c r="I28" s="109" t="str">
        <x:v>Bhoomi</x:v>
      </x:c>
      <x:c r="J28" s="109" t="str">
        <x:v>Pranav</x:v>
      </x:c>
      <x:c r="K28" s="109" t="str">
        <x:v>Divya</x:v>
      </x:c>
      <x:c r="L28" s="109" t="str">
        <x:v>Pankaj</x:v>
      </x:c>
      <x:c r="M28" s="109" t="str">
        <x:v>Jinal</x:v>
      </x:c>
    </x:row>
    <x:row r="29" ht="46" customHeight="1">
      <x:c r="A29" s="2" t="str">
        <x:v>HC01</x:v>
      </x:c>
      <x:c r="B29" s="23" t="str">
        <x:v>Home cab paid by Pranav</x:v>
      </x:c>
      <x:c r="C29" s="2" t="str">
        <x:v>Pranav</x:v>
      </x:c>
      <x:c r="D29" s="18" t="n">
        <x:v>584</x:v>
      </x:c>
      <x:c r="E29" s="23" t="str">
        <x:v>Rushang, Rushabh, Bhoomi, Pranav, Divya, Jinal</x:v>
      </x:c>
      <x:c r="F29" s="2" t="n">
        <x:v>6</x:v>
      </x:c>
      <x:c r="G29" s="19" t="n">
        <x:f>ROUND(D29/F29,2)</x:f>
        <x:v>97.33</x:v>
      </x:c>
      <x:c r="H29" s="19" t="n">
        <x:f>ROUND(D29/F29,2)</x:f>
        <x:v>97.33</x:v>
      </x:c>
      <x:c r="I29" s="19" t="n">
        <x:f>ROUND(D29/F29,2)</x:f>
        <x:v>97.33</x:v>
      </x:c>
      <x:c r="J29" s="19" t="n">
        <x:f>ROUND(D29/F29,2)</x:f>
        <x:v>97.33</x:v>
      </x:c>
      <x:c r="K29" s="19" t="n">
        <x:f>ROUND(D29/F29,2)</x:f>
        <x:v>97.33</x:v>
      </x:c>
      <x:c r="L29" s="19" t="n">
        <x:v>0</x:v>
      </x:c>
      <x:c r="M29" s="19" t="n">
        <x:f>D29-SUM(G29,H29,I29,J29,K29)</x:f>
        <x:v>97.35000000000002</x:v>
      </x:c>
    </x:row>
    <x:row r="30" ht="46" customHeight="1">
      <x:c r="A30" s="2" t="str">
        <x:v>HC02</x:v>
      </x:c>
      <x:c r="B30" s="23" t="str">
        <x:v>Home cab paid by Rushabh</x:v>
      </x:c>
      <x:c r="C30" s="2" t="str">
        <x:v>Rushabh</x:v>
      </x:c>
      <x:c r="D30" s="18" t="n">
        <x:v>590</x:v>
      </x:c>
      <x:c r="E30" s="23" t="str">
        <x:v>Rushang, Rushabh, Bhoomi, Pranav, Divya, Jinal</x:v>
      </x:c>
      <x:c r="F30" s="2" t="n">
        <x:v>6</x:v>
      </x:c>
      <x:c r="G30" s="19" t="n">
        <x:f>ROUND(D30/F30,2)</x:f>
        <x:v>98.33</x:v>
      </x:c>
      <x:c r="H30" s="19" t="n">
        <x:f>ROUND(D30/F30,2)</x:f>
        <x:v>98.33</x:v>
      </x:c>
      <x:c r="I30" s="19" t="n">
        <x:f>ROUND(D30/F30,2)</x:f>
        <x:v>98.33</x:v>
      </x:c>
      <x:c r="J30" s="19" t="n">
        <x:f>ROUND(D30/F30,2)</x:f>
        <x:v>98.33</x:v>
      </x:c>
      <x:c r="K30" s="19" t="n">
        <x:f>ROUND(D30/F30,2)</x:f>
        <x:v>98.33</x:v>
      </x:c>
      <x:c r="L30" s="19" t="n">
        <x:v>0</x:v>
      </x:c>
      <x:c r="M30" s="19" t="n">
        <x:f>D30-SUM(G30,H30,I30,J30,K30)</x:f>
        <x:v>98.35000000000002</x:v>
      </x:c>
    </x:row>
    <x:row r="31" ht="28" customHeight="1">
      <x:c r="A31" s="111"/>
      <x:c r="B31" s="111" t="str">
        <x:v>Home cabs total</x:v>
      </x:c>
      <x:c r="C31" s="111"/>
      <x:c r="D31" s="112" t="n">
        <x:f>SUM(D29:D30)</x:f>
        <x:v>1174</x:v>
      </x:c>
      <x:c r="E31" s="111"/>
      <x:c r="F31" s="111"/>
      <x:c r="G31" s="112" t="n">
        <x:f>SUM(G29:G30)</x:f>
        <x:v>195.66</x:v>
      </x:c>
      <x:c r="H31" s="112" t="n">
        <x:f>SUM(H29:H30)</x:f>
        <x:v>195.66</x:v>
      </x:c>
      <x:c r="I31" s="112" t="n">
        <x:f>SUM(I29:I30)</x:f>
        <x:v>195.66</x:v>
      </x:c>
      <x:c r="J31" s="112" t="n">
        <x:f>SUM(J29:J30)</x:f>
        <x:v>195.66</x:v>
      </x:c>
      <x:c r="K31" s="112" t="n">
        <x:f>SUM(K29:K30)</x:f>
        <x:v>195.66</x:v>
      </x:c>
      <x:c r="L31" s="112" t="n">
        <x:f>SUM(L29:L30)</x:f>
        <x:v>0</x:v>
      </x:c>
      <x:c r="M31" s="112" t="n">
        <x:f>SUM(M29:M30)</x:f>
        <x:v>195.70000000000005</x:v>
      </x:c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8" customHeight="1">
      <x:c r="A33" s="2" t="str">
        <x:v>Both cab amounts are recorded as INR. Transaction date was not supplied. Each cab is shared by everyone except Pankaj.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8" customHeight="1">
      <x:c r="A34" s="2" t="str">
        <x:v>Each bill is rounded to paise; Jinal, the final included adult, receives the rounding remainder.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43953"/>
  </x:sheetPr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96" t="str">
        <x:v>Per-person expense and payment breakdown</x:v>
      </x:c>
      <x:c r="B2" s="2"/>
      <x:c r="C2" s="2"/>
      <x:c r="D2" s="2"/>
      <x:c r="E2" s="2"/>
      <x:c r="F2" s="2"/>
      <x:c r="G2" s="2"/>
      <x:c r="H2" s="2"/>
    </x:row>
    <x:row r="3" ht="27" customHeight="1">
      <x:c r="A3" s="2"/>
      <x:c r="B3" s="2"/>
      <x:c r="C3" s="2"/>
      <x:c r="D3" s="2"/>
      <x:c r="E3" s="2"/>
      <x:c r="F3" s="2"/>
      <x:c r="G3" s="2"/>
      <x:c r="H3" s="2"/>
    </x:row>
    <x:row r="4" ht="27" customHeight="1">
      <x:c r="A4" s="42" t="str">
        <x:v>Positive group net means receive money; a negative amount means pay. Personal debts to Rushang remain separate.</x:v>
      </x:c>
      <x:c r="B4" s="42"/>
      <x:c r="C4" s="42"/>
      <x:c r="D4" s="42"/>
      <x:c r="E4" s="42"/>
      <x:c r="F4" s="42"/>
      <x:c r="G4" s="42"/>
      <x:c r="H4" s="42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27" customHeight="1">
      <x:c r="A6" s="21" t="str">
        <x:v>Payment credits used for settlement</x:v>
      </x:c>
      <x:c r="B6" s="2"/>
      <x:c r="C6" s="2"/>
      <x:c r="D6" s="2"/>
      <x:c r="E6" s="2"/>
      <x:c r="F6" s="2"/>
      <x:c r="G6" s="2"/>
      <x:c r="H6" s="2"/>
    </x:row>
    <x:row r="7" ht="27" customHeight="1">
      <x:c r="A7" s="2"/>
      <x:c r="B7" s="2"/>
      <x:c r="C7" s="2"/>
      <x:c r="D7" s="2"/>
      <x:c r="E7" s="2"/>
      <x:c r="F7" s="2"/>
      <x:c r="G7" s="2"/>
      <x:c r="H7" s="2"/>
    </x:row>
    <x:row r="8" ht="40" customHeight="1">
      <x:c r="A8" s="100" t="str">
        <x:v>Adult</x:v>
      </x:c>
      <x:c r="B8" s="100" t="str">
        <x:v>Flight credit</x:v>
      </x:c>
      <x:c r="C8" s="100" t="str">
        <x:v>Cash paid</x:v>
      </x:c>
      <x:c r="D8" s="100" t="str">
        <x:v>Surati food paid</x:v>
      </x:c>
      <x:c r="E8" s="100" t="str">
        <x:v>Other credit</x:v>
      </x:c>
      <x:c r="F8" s="100" t="str">
        <x:v>Total credit</x:v>
      </x:c>
      <x:c r="G8" s="100" t="str">
        <x:v>Total expense</x:v>
      </x:c>
      <x:c r="H8" s="100" t="str">
        <x:v>Group net</x:v>
      </x:c>
    </x:row>
    <x:row r="9" ht="27" customHeight="1">
      <x:c r="A9" s="101" t="str">
        <x:f>Balances!A10</x:f>
        <x:v>Rushang</x:v>
      </x:c>
      <x:c r="B9" s="104" t="n">
        <x:f>Balances!C10</x:f>
        <x:v>35500</x:v>
      </x:c>
      <x:c r="C9" s="104" t="n">
        <x:f>'Shared expenses'!D27</x:f>
        <x:v>15000</x:v>
      </x:c>
      <x:c r="D9" s="104" t="n">
        <x:f>IF(A9='Shared expenses'!$C$7,'Shared expenses'!$D$7,0)</x:f>
        <x:v>0</x:v>
      </x:c>
      <x:c r="E9" s="104" t="n">
        <x:f>Balances!B10-SUM(B9:D9)</x:f>
        <x:v>84420</x:v>
      </x:c>
      <x:c r="F9" s="104" t="n">
        <x:f>SUM(B9:E9)</x:f>
        <x:v>134920</x:v>
      </x:c>
      <x:c r="G9" s="104" t="n">
        <x:f>Balances!F10</x:f>
        <x:v>77900.28</x:v>
      </x:c>
      <x:c r="H9" s="104" t="n">
        <x:f>F9-G9</x:f>
        <x:v>57019.72</x:v>
      </x:c>
    </x:row>
    <x:row r="10" ht="27" customHeight="1">
      <x:c r="A10" s="2" t="str">
        <x:f>Balances!A11</x:f>
        <x:v>Rushabh</x:v>
      </x:c>
      <x:c r="B10" s="19" t="n">
        <x:f>Balances!C11</x:f>
        <x:v>35500</x:v>
      </x:c>
      <x:c r="C10" s="19" t="n">
        <x:f>'Shared expenses'!D28</x:f>
        <x:v>15000</x:v>
      </x:c>
      <x:c r="D10" s="19" t="n">
        <x:f>IF(A10='Shared expenses'!$C$7,'Shared expenses'!$D$7,0)</x:f>
        <x:v>0</x:v>
      </x:c>
      <x:c r="E10" s="19" t="n">
        <x:f>Balances!B11-SUM(B10:D10)</x:f>
        <x:v>590</x:v>
      </x:c>
      <x:c r="F10" s="19" t="n">
        <x:f>SUM(B10:E10)</x:f>
        <x:v>51090</x:v>
      </x:c>
      <x:c r="G10" s="19" t="n">
        <x:f>Balances!F11</x:f>
        <x:v>76103.5</x:v>
      </x:c>
      <x:c r="H10" s="19" t="n">
        <x:f>F10-G10</x:f>
        <x:v>-25013.5</x:v>
      </x:c>
    </x:row>
    <x:row r="11" ht="27" customHeight="1">
      <x:c r="A11" s="101" t="str">
        <x:f>Balances!A12</x:f>
        <x:v>Bhoomi</x:v>
      </x:c>
      <x:c r="B11" s="104" t="n">
        <x:f>Balances!C12</x:f>
        <x:v>35500</x:v>
      </x:c>
      <x:c r="C11" s="104" t="n">
        <x:f>'Shared expenses'!D29</x:f>
        <x:v>15000</x:v>
      </x:c>
      <x:c r="D11" s="104" t="n">
        <x:f>IF(A11='Shared expenses'!$C$7,'Shared expenses'!$D$7,0)</x:f>
        <x:v>0</x:v>
      </x:c>
      <x:c r="E11" s="104" t="n">
        <x:f>Balances!B12-SUM(B11:D11)</x:f>
        <x:v>0</x:v>
      </x:c>
      <x:c r="F11" s="104" t="n">
        <x:f>SUM(B11:E11)</x:f>
        <x:v>50500</x:v>
      </x:c>
      <x:c r="G11" s="104" t="n">
        <x:f>Balances!F12</x:f>
        <x:v>75126.83</x:v>
      </x:c>
      <x:c r="H11" s="104" t="n">
        <x:f>F11-G11</x:f>
        <x:v>-24626.83</x:v>
      </x:c>
    </x:row>
    <x:row r="12" ht="27" customHeight="1">
      <x:c r="A12" s="2" t="str">
        <x:f>Balances!A13</x:f>
        <x:v>Pranav</x:v>
      </x:c>
      <x:c r="B12" s="19" t="n">
        <x:f>Balances!C13</x:f>
        <x:v>35500</x:v>
      </x:c>
      <x:c r="C12" s="19" t="n">
        <x:f>'Shared expenses'!D30</x:f>
        <x:v>15000</x:v>
      </x:c>
      <x:c r="D12" s="19" t="n">
        <x:f>IF(A12='Shared expenses'!$C$7,'Shared expenses'!$D$7,0)</x:f>
        <x:v>0</x:v>
      </x:c>
      <x:c r="E12" s="19" t="n">
        <x:f>Balances!B13-SUM(B12:D12)</x:f>
        <x:v>31837</x:v>
      </x:c>
      <x:c r="F12" s="19" t="n">
        <x:f>SUM(B12:E12)</x:f>
        <x:v>82337</x:v>
      </x:c>
      <x:c r="G12" s="19" t="n">
        <x:f>Balances!F13</x:f>
        <x:v>80253.61</x:v>
      </x:c>
      <x:c r="H12" s="19" t="n">
        <x:f>F12-G12</x:f>
        <x:v>2083.3899999999994</x:v>
      </x:c>
    </x:row>
    <x:row r="13" ht="27" customHeight="1">
      <x:c r="A13" s="101" t="str">
        <x:f>Balances!A14</x:f>
        <x:v>Divya</x:v>
      </x:c>
      <x:c r="B13" s="104" t="n">
        <x:f>Balances!C14</x:f>
        <x:v>35500</x:v>
      </x:c>
      <x:c r="C13" s="104" t="n">
        <x:f>'Shared expenses'!D31</x:f>
        <x:v>15000</x:v>
      </x:c>
      <x:c r="D13" s="104" t="n">
        <x:f>IF(A13='Shared expenses'!$C$7,'Shared expenses'!$D$7,0)</x:f>
        <x:v>0</x:v>
      </x:c>
      <x:c r="E13" s="104" t="n">
        <x:f>Balances!B14-SUM(B13:D13)</x:f>
        <x:v>0</x:v>
      </x:c>
      <x:c r="F13" s="104" t="n">
        <x:f>SUM(B13:E13)</x:f>
        <x:v>50500</x:v>
      </x:c>
      <x:c r="G13" s="104" t="n">
        <x:f>Balances!F14</x:f>
        <x:v>75555.61</x:v>
      </x:c>
      <x:c r="H13" s="104" t="n">
        <x:f>F13-G13</x:f>
        <x:v>-25055.61</x:v>
      </x:c>
    </x:row>
    <x:row r="14" ht="27" customHeight="1">
      <x:c r="A14" s="2" t="str">
        <x:f>Balances!A15</x:f>
        <x:v>Pankaj</x:v>
      </x:c>
      <x:c r="B14" s="19" t="n">
        <x:f>Balances!C15</x:f>
        <x:v>35500</x:v>
      </x:c>
      <x:c r="C14" s="19" t="n">
        <x:f>'Shared expenses'!D32</x:f>
        <x:v>15000</x:v>
      </x:c>
      <x:c r="D14" s="19" t="n">
        <x:f>IF(A14='Shared expenses'!$C$7,'Shared expenses'!$D$7,0)</x:f>
        <x:v>0</x:v>
      </x:c>
      <x:c r="E14" s="19" t="n">
        <x:f>Balances!B15-SUM(B14:D14)</x:f>
        <x:v>34996</x:v>
      </x:c>
      <x:c r="F14" s="19" t="n">
        <x:f>SUM(B14:E14)</x:f>
        <x:v>85496</x:v>
      </x:c>
      <x:c r="G14" s="19" t="n">
        <x:f>Balances!F15</x:f>
        <x:v>75543.61000000002</x:v>
      </x:c>
      <x:c r="H14" s="19" t="n">
        <x:f>F14-G14</x:f>
        <x:v>9952.389999999985</x:v>
      </x:c>
    </x:row>
    <x:row r="15" ht="27" customHeight="1">
      <x:c r="A15" s="101" t="str">
        <x:f>Balances!A16</x:f>
        <x:v>Jinal</x:v>
      </x:c>
      <x:c r="B15" s="104" t="n">
        <x:f>Balances!C16</x:f>
        <x:v>35500</x:v>
      </x:c>
      <x:c r="C15" s="104" t="n">
        <x:f>'Shared expenses'!D33</x:f>
        <x:v>15000</x:v>
      </x:c>
      <x:c r="D15" s="104" t="n">
        <x:f>IF(A15='Shared expenses'!$C$7,'Shared expenses'!$D$7,0)</x:f>
        <x:v>31388</x:v>
      </x:c>
      <x:c r="E15" s="104" t="n">
        <x:f>Balances!B16-SUM(B15:D15)</x:f>
        <x:v>0</x:v>
      </x:c>
      <x:c r="F15" s="104" t="n">
        <x:f>SUM(B15:E15)</x:f>
        <x:v>81888</x:v>
      </x:c>
      <x:c r="G15" s="104" t="n">
        <x:f>Balances!F16</x:f>
        <x:v>76247.56</x:v>
      </x:c>
      <x:c r="H15" s="104" t="n">
        <x:f>F15-G15</x:f>
        <x:v>5640.440000000002</x:v>
      </x:c>
    </x:row>
    <x:row r="16" ht="27" customHeight="1">
      <x:c r="A16" s="103" t="str">
        <x:v>Total</x:v>
      </x:c>
      <x:c r="B16" s="105" t="n">
        <x:f>SUM(B9:B15)</x:f>
        <x:v>248500</x:v>
      </x:c>
      <x:c r="C16" s="105" t="n">
        <x:f>SUM(C9:C15)</x:f>
        <x:v>105000</x:v>
      </x:c>
      <x:c r="D16" s="105" t="n">
        <x:f>SUM(D9:D15)</x:f>
        <x:v>31388</x:v>
      </x:c>
      <x:c r="E16" s="105" t="n">
        <x:f>SUM(E9:E15)</x:f>
        <x:v>151843</x:v>
      </x:c>
      <x:c r="F16" s="105" t="n">
        <x:f>SUM(F9:F15)</x:f>
        <x:v>536731</x:v>
      </x:c>
      <x:c r="G16" s="105" t="n">
        <x:f>SUM(G9:G15)</x:f>
        <x:v>536731</x:v>
      </x:c>
      <x:c r="H16" s="105" t="n">
        <x:f>ROUND(SUM(H9:H15),2)</x:f>
        <x:v>0</x:v>
      </x:c>
    </x:row>
    <x:row r="17" ht="27" customHeight="1">
      <x:c r="A17" s="2"/>
      <x:c r="B17" s="2"/>
      <x:c r="C17" s="2"/>
      <x:c r="D17" s="2"/>
      <x:c r="E17" s="2"/>
      <x:c r="F17" s="2"/>
      <x:c r="G17" s="2"/>
      <x:c r="H17" s="2"/>
    </x:row>
    <x:row r="18" ht="27" customHeight="1">
      <x:c r="A18" s="42" t="str">
        <x:v>Flight credit belongs to each traveller. Rushang’s advances for Pankaj and Pranav are repaid separately.</x:v>
      </x:c>
      <x:c r="B18" s="42"/>
      <x:c r="C18" s="42"/>
      <x:c r="D18" s="42"/>
      <x:c r="E18" s="42"/>
      <x:c r="F18" s="42"/>
      <x:c r="G18" s="42"/>
      <x:c r="H18" s="42"/>
    </x:row>
    <x:row r="19" ht="27" customHeight="1">
      <x:c r="A19" s="42" t="str">
        <x:v>Other credit includes villas, cabs, breakfast and group Scapia funding. Pranav also gets credit for his separate ₹4,191 debt.</x:v>
      </x:c>
      <x:c r="B19" s="42"/>
      <x:c r="C19" s="42"/>
      <x:c r="D19" s="42"/>
      <x:c r="E19" s="42"/>
      <x:c r="F19" s="42"/>
      <x:c r="G19" s="42"/>
      <x:c r="H19" s="4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</x:row>
    <x:row r="21" ht="27" customHeight="1">
      <x:c r="A21" s="21" t="str">
        <x:v>Each person’s expense: Flight + Cash + Surati + Other</x:v>
      </x:c>
      <x:c r="B21" s="2"/>
      <x:c r="C21" s="2"/>
      <x:c r="D21" s="2"/>
      <x:c r="E21" s="2"/>
      <x:c r="F21" s="2"/>
      <x:c r="G21" s="2"/>
      <x:c r="H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</x:row>
    <x:row r="23" ht="40" customHeight="1">
      <x:c r="A23" s="100" t="str">
        <x:v>Adult</x:v>
      </x:c>
      <x:c r="B23" s="100" t="str">
        <x:v>Flight expense</x:v>
      </x:c>
      <x:c r="C23" s="100" t="str">
        <x:v>Cash base cost</x:v>
      </x:c>
      <x:c r="D23" s="100" t="str">
        <x:v>Surati food share</x:v>
      </x:c>
      <x:c r="E23" s="100" t="str">
        <x:v>Other expenses</x:v>
      </x:c>
      <x:c r="F23" s="100" t="str">
        <x:v>Total expense</x:v>
      </x:c>
      <x:c r="G23" s="2"/>
      <x:c r="H23" s="2"/>
    </x:row>
    <x:row r="24" ht="27" customHeight="1">
      <x:c r="A24" s="101" t="str">
        <x:f>Balances!A10</x:f>
        <x:v>Rushang</x:v>
      </x:c>
      <x:c r="B24" s="104" t="n">
        <x:f>Balances!C10</x:f>
        <x:v>35500</x:v>
      </x:c>
      <x:c r="C24" s="104" t="n">
        <x:f>'Shared expenses'!D27</x:f>
        <x:v>15000</x:v>
      </x:c>
      <x:c r="D24" s="104" t="n">
        <x:f>'Shared expenses'!$D$7/COUNTA(Flights!$A$7:$A$13)</x:f>
        <x:v>4484</x:v>
      </x:c>
      <x:c r="E24" s="104" t="n">
        <x:f>Balances!F10-SUM(B24:D24)</x:f>
        <x:v>22916.28</x:v>
      </x:c>
      <x:c r="F24" s="104" t="n">
        <x:f>SUM(B24:E24)</x:f>
        <x:v>77900.28</x:v>
      </x:c>
      <x:c r="G24" s="2"/>
      <x:c r="H24" s="2"/>
    </x:row>
    <x:row r="25" ht="27" customHeight="1">
      <x:c r="A25" s="2" t="str">
        <x:f>Balances!A11</x:f>
        <x:v>Rushabh</x:v>
      </x:c>
      <x:c r="B25" s="19" t="n">
        <x:f>Balances!C11</x:f>
        <x:v>35500</x:v>
      </x:c>
      <x:c r="C25" s="19" t="n">
        <x:f>'Shared expenses'!D28</x:f>
        <x:v>15000</x:v>
      </x:c>
      <x:c r="D25" s="19" t="n">
        <x:f>'Shared expenses'!$D$7/COUNTA(Flights!$A$7:$A$13)</x:f>
        <x:v>4484</x:v>
      </x:c>
      <x:c r="E25" s="19" t="n">
        <x:f>Balances!F11-SUM(B25:D25)</x:f>
        <x:v>21119.5</x:v>
      </x:c>
      <x:c r="F25" s="19" t="n">
        <x:f>SUM(B25:E25)</x:f>
        <x:v>76103.5</x:v>
      </x:c>
      <x:c r="G25" s="2"/>
      <x:c r="H25" s="2"/>
    </x:row>
    <x:row r="26" ht="27" customHeight="1">
      <x:c r="A26" s="101" t="str">
        <x:f>Balances!A12</x:f>
        <x:v>Bhoomi</x:v>
      </x:c>
      <x:c r="B26" s="104" t="n">
        <x:f>Balances!C12</x:f>
        <x:v>35500</x:v>
      </x:c>
      <x:c r="C26" s="104" t="n">
        <x:f>'Shared expenses'!D29</x:f>
        <x:v>15000</x:v>
      </x:c>
      <x:c r="D26" s="104" t="n">
        <x:f>'Shared expenses'!$D$7/COUNTA(Flights!$A$7:$A$13)</x:f>
        <x:v>4484</x:v>
      </x:c>
      <x:c r="E26" s="104" t="n">
        <x:f>Balances!F12-SUM(B26:D26)</x:f>
        <x:v>20142.83</x:v>
      </x:c>
      <x:c r="F26" s="104" t="n">
        <x:f>SUM(B26:E26)</x:f>
        <x:v>75126.83</x:v>
      </x:c>
      <x:c r="G26" s="2"/>
      <x:c r="H26" s="2"/>
    </x:row>
    <x:row r="27" ht="27" customHeight="1">
      <x:c r="A27" s="2" t="str">
        <x:f>Balances!A13</x:f>
        <x:v>Pranav</x:v>
      </x:c>
      <x:c r="B27" s="19" t="n">
        <x:f>Balances!C13</x:f>
        <x:v>35500</x:v>
      </x:c>
      <x:c r="C27" s="19" t="n">
        <x:f>'Shared expenses'!D30</x:f>
        <x:v>15000</x:v>
      </x:c>
      <x:c r="D27" s="19" t="n">
        <x:f>'Shared expenses'!$D$7/COUNTA(Flights!$A$7:$A$13)</x:f>
        <x:v>4484</x:v>
      </x:c>
      <x:c r="E27" s="19" t="n">
        <x:f>Balances!F13-SUM(B27:D27)</x:f>
        <x:v>25269.61</x:v>
      </x:c>
      <x:c r="F27" s="19" t="n">
        <x:f>SUM(B27:E27)</x:f>
        <x:v>80253.61</x:v>
      </x:c>
      <x:c r="G27" s="2"/>
      <x:c r="H27" s="2"/>
    </x:row>
    <x:row r="28" ht="27" customHeight="1">
      <x:c r="A28" s="101" t="str">
        <x:f>Balances!A14</x:f>
        <x:v>Divya</x:v>
      </x:c>
      <x:c r="B28" s="104" t="n">
        <x:f>Balances!C14</x:f>
        <x:v>35500</x:v>
      </x:c>
      <x:c r="C28" s="104" t="n">
        <x:f>'Shared expenses'!D31</x:f>
        <x:v>15000</x:v>
      </x:c>
      <x:c r="D28" s="104" t="n">
        <x:f>'Shared expenses'!$D$7/COUNTA(Flights!$A$7:$A$13)</x:f>
        <x:v>4484</x:v>
      </x:c>
      <x:c r="E28" s="104" t="n">
        <x:f>Balances!F14-SUM(B28:D28)</x:f>
        <x:v>20571.61</x:v>
      </x:c>
      <x:c r="F28" s="104" t="n">
        <x:f>SUM(B28:E28)</x:f>
        <x:v>75555.61</x:v>
      </x:c>
      <x:c r="G28" s="2"/>
      <x:c r="H28" s="2"/>
    </x:row>
    <x:row r="29" ht="27" customHeight="1">
      <x:c r="A29" s="2" t="str">
        <x:f>Balances!A15</x:f>
        <x:v>Pankaj</x:v>
      </x:c>
      <x:c r="B29" s="19" t="n">
        <x:f>Balances!C15</x:f>
        <x:v>35500</x:v>
      </x:c>
      <x:c r="C29" s="19" t="n">
        <x:f>'Shared expenses'!D32</x:f>
        <x:v>15000</x:v>
      </x:c>
      <x:c r="D29" s="19" t="n">
        <x:f>'Shared expenses'!$D$7/COUNTA(Flights!$A$7:$A$13)</x:f>
        <x:v>4484</x:v>
      </x:c>
      <x:c r="E29" s="19" t="n">
        <x:f>Balances!F15-SUM(B29:D29)</x:f>
        <x:v>20559.610000000015</x:v>
      </x:c>
      <x:c r="F29" s="19" t="n">
        <x:f>SUM(B29:E29)</x:f>
        <x:v>75543.61000000002</x:v>
      </x:c>
      <x:c r="G29" s="2"/>
      <x:c r="H29" s="2"/>
    </x:row>
    <x:row r="30" ht="27" customHeight="1">
      <x:c r="A30" s="101" t="str">
        <x:f>Balances!A16</x:f>
        <x:v>Jinal</x:v>
      </x:c>
      <x:c r="B30" s="104" t="n">
        <x:f>Balances!C16</x:f>
        <x:v>35500</x:v>
      </x:c>
      <x:c r="C30" s="104" t="n">
        <x:f>'Shared expenses'!D33</x:f>
        <x:v>15000</x:v>
      </x:c>
      <x:c r="D30" s="104" t="n">
        <x:f>'Shared expenses'!$D$7/COUNTA(Flights!$A$7:$A$13)</x:f>
        <x:v>4484</x:v>
      </x:c>
      <x:c r="E30" s="104" t="n">
        <x:f>Balances!F16-SUM(B30:D30)</x:f>
        <x:v>21263.559999999998</x:v>
      </x:c>
      <x:c r="F30" s="104" t="n">
        <x:f>SUM(B30:E30)</x:f>
        <x:v>76247.56</x:v>
      </x:c>
      <x:c r="G30" s="2"/>
      <x:c r="H30" s="2"/>
    </x:row>
    <x:row r="31" ht="27" customHeight="1">
      <x:c r="A31" s="103" t="str">
        <x:v>Total</x:v>
      </x:c>
      <x:c r="B31" s="105" t="n">
        <x:f>SUM(B24:B30)</x:f>
        <x:v>248500</x:v>
      </x:c>
      <x:c r="C31" s="105" t="n">
        <x:f>SUM(C24:C30)</x:f>
        <x:v>105000</x:v>
      </x:c>
      <x:c r="D31" s="105" t="n">
        <x:f>SUM(D24:D30)</x:f>
        <x:v>31388</x:v>
      </x:c>
      <x:c r="E31" s="105" t="n">
        <x:f>SUM(E24:E30)</x:f>
        <x:v>151843</x:v>
      </x:c>
      <x:c r="F31" s="105" t="n">
        <x:f>SUM(F24:F30)</x:f>
        <x:v>536731</x:v>
      </x:c>
      <x:c r="G31" s="2"/>
      <x:c r="H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</x:row>
    <x:row r="33" ht="27" customHeight="1">
      <x:c r="A33" s="42" t="str">
        <x:v>Other expenses = other general costs + Kandy + Scapia + return-home cabs + personal pooled-cash adjustment.</x:v>
      </x:c>
      <x:c r="B33" s="42"/>
      <x:c r="C33" s="42"/>
      <x:c r="D33" s="42"/>
      <x:c r="E33" s="42"/>
      <x:c r="F33" s="42"/>
      <x:c r="G33" s="42"/>
      <x:c r="H33" s="42"/>
    </x:row>
    <x:row r="34" ht="27" customHeight="1">
      <x:c r="A34" s="42" t="str">
        <x:v>Cash starts at ₹15,000 each. Personal pool use reallocates this amount through Other; no cash expense is counted twice.</x:v>
      </x:c>
      <x:c r="B34" s="42"/>
      <x:c r="C34" s="42"/>
      <x:c r="D34" s="42"/>
      <x:c r="E34" s="42"/>
      <x:c r="F34" s="42"/>
      <x:c r="G34" s="42"/>
      <x:c r="H34" s="42"/>
    </x:row>
    <x:row r="35" ht="27" customHeight="1">
      <x:c r="A35" s="2"/>
      <x:c r="B35" s="2"/>
      <x:c r="C35" s="2"/>
      <x:c r="D35" s="2"/>
      <x:c r="E35" s="2"/>
      <x:c r="F35" s="2"/>
      <x:c r="G35" s="2"/>
      <x:c r="H35" s="2"/>
    </x:row>
    <x:row r="36" ht="27" customHeight="1">
      <x:c r="A36" s="21" t="str">
        <x:v>Jinal: why she receives money</x:v>
      </x:c>
      <x:c r="B36" s="2"/>
      <x:c r="C36" s="2"/>
      <x:c r="D36" s="2"/>
      <x:c r="E36" s="2"/>
      <x:c r="F36" s="2"/>
      <x:c r="G36" s="2"/>
      <x:c r="H36" s="2"/>
    </x:row>
    <x:row r="37" ht="27" customHeight="1">
      <x:c r="A37" s="2"/>
      <x:c r="B37" s="2"/>
      <x:c r="C37" s="2"/>
      <x:c r="D37" s="2"/>
      <x:c r="E37" s="2"/>
      <x:c r="F37" s="2"/>
      <x:c r="G37" s="2"/>
      <x:c r="H37" s="2"/>
    </x:row>
    <x:row r="38" ht="40" customHeight="1">
      <x:c r="A38" s="100" t="str">
        <x:v>Calculation</x:v>
      </x:c>
      <x:c r="B38" s="100"/>
      <x:c r="C38" s="100"/>
      <x:c r="D38" s="100" t="str">
        <x:v>Amount (INR)</x:v>
      </x:c>
      <x:c r="E38" s="2"/>
      <x:c r="F38" s="2"/>
      <x:c r="G38" s="2"/>
      <x:c r="H38" s="2"/>
    </x:row>
    <x:row r="39" ht="27" customHeight="1">
      <x:c r="A39" s="2" t="str">
        <x:v>Surati food paid for everyone</x:v>
      </x:c>
      <x:c r="B39" s="2"/>
      <x:c r="C39" s="2"/>
      <x:c r="D39" s="19" t="n">
        <x:f>D15</x:f>
        <x:v>31388</x:v>
      </x:c>
      <x:c r="E39" s="2"/>
      <x:c r="F39" s="2"/>
      <x:c r="G39" s="2"/>
      <x:c r="H39" s="2"/>
    </x:row>
    <x:row r="40" ht="27" customHeight="1">
      <x:c r="A40" s="2" t="str">
        <x:v>Less: her share of general costs</x:v>
      </x:c>
      <x:c r="B40" s="2"/>
      <x:c r="C40" s="2"/>
      <x:c r="D40" s="19" t="n">
        <x:f>-Balances!D16</x:f>
        <x:v>-15764.839999999997</x:v>
      </x:c>
      <x:c r="E40" s="2"/>
      <x:c r="F40" s="2"/>
      <x:c r="G40" s="2"/>
      <x:c r="H40" s="2"/>
    </x:row>
    <x:row r="41" ht="27" customHeight="1">
      <x:c r="A41" s="2" t="str">
        <x:v>Less: her Kandy allocation</x:v>
      </x:c>
      <x:c r="B41" s="2"/>
      <x:c r="C41" s="2"/>
      <x:c r="D41" s="19" t="n">
        <x:f>-Balances!E16</x:f>
        <x:v>-2860</x:v>
      </x:c>
      <x:c r="E41" s="2"/>
      <x:c r="F41" s="2"/>
      <x:c r="G41" s="2"/>
      <x:c r="H41" s="2"/>
    </x:row>
    <x:row r="42" ht="27" customHeight="1">
      <x:c r="A42" s="2" t="str">
        <x:v>Less: her share of Scapia purchases</x:v>
      </x:c>
      <x:c r="B42" s="2"/>
      <x:c r="C42" s="2"/>
      <x:c r="D42" s="19" t="n">
        <x:f>-Scapia!O30</x:f>
        <x:v>-7267.74</x:v>
      </x:c>
      <x:c r="E42" s="2"/>
      <x:c r="F42" s="2"/>
      <x:c r="G42" s="2"/>
      <x:c r="H42" s="2"/>
    </x:row>
    <x:row r="43" ht="27" customHeight="1">
      <x:c r="A43" s="2" t="str">
        <x:v>Add: her net pooled-cash credit</x:v>
      </x:c>
      <x:c r="B43" s="2"/>
      <x:c r="C43" s="2"/>
      <x:c r="D43" s="19" t="n">
        <x:f>'Pool personal'!D30</x:f>
        <x:v>340.72000000000025</x:v>
      </x:c>
      <x:c r="E43" s="2"/>
      <x:c r="F43" s="2"/>
      <x:c r="G43" s="2"/>
      <x:c r="H43" s="2"/>
    </x:row>
    <x:row r="44" ht="27" customHeight="1">
      <x:c r="A44" s="117" t="str">
        <x:v>Less: her share of home cabs</x:v>
      </x:c>
      <x:c r="B44" s="117"/>
      <x:c r="C44" s="117"/>
      <x:c r="D44" s="118" t="n">
        <x:f>-'Day-wise'!M31</x:f>
        <x:v>-195.70000000000005</x:v>
      </x:c>
      <x:c r="E44" s="2"/>
      <x:c r="F44" s="2"/>
      <x:c r="G44" s="2"/>
      <x:c r="H44" s="2"/>
    </x:row>
    <x:row r="45" ht="27" customHeight="1">
      <x:c r="A45" s="111" t="str">
        <x:v>Jinal should receive</x:v>
      </x:c>
      <x:c r="B45" s="111"/>
      <x:c r="C45" s="111"/>
      <x:c r="D45" s="112" t="n">
        <x:f>SUM(D39:D44)</x:f>
        <x:v>5640.440000000004</x:v>
      </x:c>
      <x:c r="E45" s="2"/>
      <x:c r="F45" s="2"/>
      <x:c r="G45" s="2"/>
      <x:c r="H45" s="2"/>
    </x:row>
    <x:row r="46" ht="27" customHeight="1">
      <x:c r="A46" s="42" t="str">
        <x:v>Jinal’s own flight and cash are recorded as both her payment credits and her costs, so they cancel in settlement.</x:v>
      </x:c>
      <x:c r="B46" s="42"/>
      <x:c r="C46" s="42"/>
      <x:c r="D46" s="42"/>
      <x:c r="E46" s="42"/>
      <x:c r="F46" s="42"/>
      <x:c r="G46" s="42"/>
      <x:c r="H46" s="42"/>
    </x:row>
    <x:row r="47" ht="27" customHeight="1">
      <x:c r="A47" s="42" t="str">
        <x:v>Her ₹31,388 shared food payment is higher than her remaining allocated expenses; the difference is payable to her.</x:v>
      </x:c>
      <x:c r="B47" s="42"/>
      <x:c r="C47" s="42"/>
      <x:c r="D47" s="42"/>
      <x:c r="E47" s="42"/>
      <x:c r="F47" s="42"/>
      <x:c r="G47" s="42"/>
      <x:c r="H47" s="42"/>
    </x:row>
    <x:row r="48" ht="27" customHeight="1">
      <x:c r="A48" s="2"/>
      <x:c r="B48" s="2"/>
      <x:c r="C48" s="2"/>
      <x:c r="D48" s="2"/>
      <x:c r="E48" s="2"/>
      <x:c r="F48" s="2"/>
      <x:c r="G48" s="2"/>
      <x:c r="H48" s="2"/>
    </x:row>
    <x:row r="49" ht="27" customHeight="1">
      <x:c r="A49" s="42" t="str">
        <x:v>All recorded expenses reconcile to the personal allocations. Group net excludes separate repayments to Rushang.</x:v>
      </x:c>
      <x:c r="B49" s="42"/>
      <x:c r="C49" s="42"/>
      <x:c r="D49" s="42"/>
      <x:c r="E49" s="42"/>
      <x:c r="F49" s="42"/>
      <x:c r="G49" s="42"/>
      <x:c r="H49" s="42"/>
    </x:row>
    <x:row r="52" ht="28" customHeight="1">
      <x:c r="A52" s="53" t="str">
        <x:v>Other expenses: proper breakdown for every person</x:v>
      </x:c>
      <x:c r="B52" s="2"/>
      <x:c r="C52" s="2"/>
      <x:c r="D52" s="2"/>
      <x:c r="E52" s="2"/>
      <x:c r="F52" s="2"/>
      <x:c r="G52" s="2"/>
      <x:c r="H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</x:row>
    <x:row r="54" ht="42" customHeight="1">
      <x:c r="A54" s="109" t="str">
        <x:v>Adult</x:v>
      </x:c>
      <x:c r="B54" s="109" t="str">
        <x:v>General less Surati</x:v>
      </x:c>
      <x:c r="C54" s="109" t="str">
        <x:v>Kandy</x:v>
      </x:c>
      <x:c r="D54" s="109" t="str">
        <x:v>Scapia</x:v>
      </x:c>
      <x:c r="E54" s="109" t="str">
        <x:v>Home cabs</x:v>
      </x:c>
      <x:c r="F54" s="109" t="str">
        <x:v>Pool adjustment</x:v>
      </x:c>
      <x:c r="G54" s="109" t="str">
        <x:v>Total Other</x:v>
      </x:c>
      <x:c r="H54" s="109" t="str">
        <x:v>Difference</x:v>
      </x:c>
    </x:row>
    <x:row r="55" ht="28" customHeight="1">
      <x:c r="A55" s="119" t="str">
        <x:v>Rushang</x:v>
      </x:c>
      <x:c r="B55" s="120" t="n">
        <x:f>Balances!D10-'Shared expenses'!$D$7/7</x:f>
        <x:v>11280.86</x:v>
      </x:c>
      <x:c r="C55" s="120" t="n">
        <x:f>Balances!E10</x:f>
        <x:v>2860</x:v>
      </x:c>
      <x:c r="D55" s="120" t="n">
        <x:f>Scapia!I30</x:f>
        <x:v>7629.140000000001</x:v>
      </x:c>
      <x:c r="E55" s="120" t="n">
        <x:f>'Day-wise'!G31</x:f>
        <x:v>195.66</x:v>
      </x:c>
      <x:c r="F55" s="120" t="n">
        <x:f>-'Pool personal'!D24</x:f>
        <x:v>950.6200000000001</x:v>
      </x:c>
      <x:c r="G55" s="120" t="n">
        <x:f>SUM(B55:F55)</x:f>
        <x:v>22916.28</x:v>
      </x:c>
      <x:c r="H55" s="120" t="n">
        <x:f>ROUND(G55-E24,2)</x:f>
        <x:v>0</x:v>
      </x:c>
    </x:row>
    <x:row r="56" ht="28" customHeight="1">
      <x:c r="A56" s="2" t="str">
        <x:v>Rushabh</x:v>
      </x:c>
      <x:c r="B56" s="19" t="n">
        <x:f>Balances!D11-'Shared expenses'!$D$7/7</x:f>
        <x:v>11280.86</x:v>
      </x:c>
      <x:c r="C56" s="19" t="n">
        <x:f>Balances!E11</x:f>
        <x:v>3017</x:v>
      </x:c>
      <x:c r="D56" s="19" t="n">
        <x:f>Scapia!J30</x:f>
        <x:v>6673.340000000001</x:v>
      </x:c>
      <x:c r="E56" s="19" t="n">
        <x:f>'Day-wise'!H31</x:f>
        <x:v>195.66</x:v>
      </x:c>
      <x:c r="F56" s="19" t="n">
        <x:f>-'Pool personal'!D25</x:f>
        <x:v>-47.360000000000014</x:v>
      </x:c>
      <x:c r="G56" s="19" t="n">
        <x:f>SUM(B56:F56)</x:f>
        <x:v>21119.5</x:v>
      </x:c>
      <x:c r="H56" s="19" t="n">
        <x:f>ROUND(G56-E25,2)</x:f>
        <x:v>0</x:v>
      </x:c>
    </x:row>
    <x:row r="57" ht="28" customHeight="1">
      <x:c r="A57" s="119" t="str">
        <x:v>Bhoomi</x:v>
      </x:c>
      <x:c r="B57" s="120" t="n">
        <x:f>Balances!D12-'Shared expenses'!$D$7/7</x:f>
        <x:v>11280.86</x:v>
      </x:c>
      <x:c r="C57" s="120" t="n">
        <x:f>Balances!E12</x:f>
        <x:v>3017</x:v>
      </x:c>
      <x:c r="D57" s="120" t="n">
        <x:f>Scapia!K30</x:f>
        <x:v>6312.010000000001</x:v>
      </x:c>
      <x:c r="E57" s="120" t="n">
        <x:f>'Day-wise'!I31</x:f>
        <x:v>195.66</x:v>
      </x:c>
      <x:c r="F57" s="120" t="n">
        <x:f>-'Pool personal'!D26</x:f>
        <x:v>-662.7</x:v>
      </x:c>
      <x:c r="G57" s="120" t="n">
        <x:f>SUM(B57:F57)</x:f>
        <x:v>20142.83</x:v>
      </x:c>
      <x:c r="H57" s="120" t="n">
        <x:f>ROUND(G57-E26,2)</x:f>
        <x:v>0</x:v>
      </x:c>
    </x:row>
    <x:row r="58" ht="28" customHeight="1">
      <x:c r="A58" s="2" t="str">
        <x:v>Pranav</x:v>
      </x:c>
      <x:c r="B58" s="19" t="n">
        <x:f>Balances!D13-'Shared expenses'!$D$7/7</x:f>
        <x:v>11280.86</x:v>
      </x:c>
      <x:c r="C58" s="19" t="n">
        <x:f>Balances!E13</x:f>
        <x:v>2168</x:v>
      </x:c>
      <x:c r="D58" s="19" t="n">
        <x:f>Scapia!L30</x:f>
        <x:v>11458.810000000001</x:v>
      </x:c>
      <x:c r="E58" s="19" t="n">
        <x:f>'Day-wise'!J31</x:f>
        <x:v>195.66</x:v>
      </x:c>
      <x:c r="F58" s="19" t="n">
        <x:f>-'Pool personal'!D27</x:f>
        <x:v>166.27999999999997</x:v>
      </x:c>
      <x:c r="G58" s="19" t="n">
        <x:f>SUM(B58:F58)</x:f>
        <x:v>25269.61</x:v>
      </x:c>
      <x:c r="H58" s="19" t="n">
        <x:f>ROUND(G58-E27,2)</x:f>
        <x:v>0</x:v>
      </x:c>
    </x:row>
    <x:row r="59" ht="28" customHeight="1">
      <x:c r="A59" s="119" t="str">
        <x:v>Divya</x:v>
      </x:c>
      <x:c r="B59" s="120" t="n">
        <x:f>Balances!D14-'Shared expenses'!$D$7/7</x:f>
        <x:v>11280.86</x:v>
      </x:c>
      <x:c r="C59" s="120" t="n">
        <x:f>Balances!E14</x:f>
        <x:v>2168</x:v>
      </x:c>
      <x:c r="D59" s="120" t="n">
        <x:f>Scapia!M30</x:f>
        <x:v>7267.810000000001</x:v>
      </x:c>
      <x:c r="E59" s="120" t="n">
        <x:f>'Day-wise'!K31</x:f>
        <x:v>195.66</x:v>
      </x:c>
      <x:c r="F59" s="120" t="n">
        <x:f>-'Pool personal'!D28</x:f>
        <x:v>-340.72</x:v>
      </x:c>
      <x:c r="G59" s="120" t="n">
        <x:f>SUM(B59:F59)</x:f>
        <x:v>20571.61</x:v>
      </x:c>
      <x:c r="H59" s="120" t="n">
        <x:f>ROUND(G59-E28,2)</x:f>
        <x:v>0</x:v>
      </x:c>
    </x:row>
    <x:row r="60" ht="28" customHeight="1">
      <x:c r="A60" s="2" t="str">
        <x:v>Pankaj</x:v>
      </x:c>
      <x:c r="B60" s="19" t="n">
        <x:f>Balances!D15-'Shared expenses'!$D$7/7</x:f>
        <x:v>11280.86</x:v>
      </x:c>
      <x:c r="C60" s="19" t="n">
        <x:f>Balances!E15</x:f>
        <x:v>1375</x:v>
      </x:c>
      <x:c r="D60" s="19" t="n">
        <x:f>Scapia!N30</x:f>
        <x:v>7629.1500000000015</x:v>
      </x:c>
      <x:c r="E60" s="19" t="n">
        <x:f>'Day-wise'!L31</x:f>
        <x:v>0</x:v>
      </x:c>
      <x:c r="F60" s="19" t="n">
        <x:f>-'Pool personal'!D29</x:f>
        <x:v>274.5999999999999</x:v>
      </x:c>
      <x:c r="G60" s="19" t="n">
        <x:f>SUM(B60:F60)</x:f>
        <x:v>20559.61</x:v>
      </x:c>
      <x:c r="H60" s="19" t="n">
        <x:f>ROUND(G60-E29,2)</x:f>
        <x:v>0</x:v>
      </x:c>
    </x:row>
    <x:row r="61" ht="28" customHeight="1">
      <x:c r="A61" s="119" t="str">
        <x:v>Jinal</x:v>
      </x:c>
      <x:c r="B61" s="120" t="n">
        <x:f>Balances!D16-'Shared expenses'!$D$7/7</x:f>
        <x:v>11280.839999999997</x:v>
      </x:c>
      <x:c r="C61" s="120" t="n">
        <x:f>Balances!E16</x:f>
        <x:v>2860</x:v>
      </x:c>
      <x:c r="D61" s="120" t="n">
        <x:f>Scapia!O30</x:f>
        <x:v>7267.74</x:v>
      </x:c>
      <x:c r="E61" s="120" t="n">
        <x:f>'Day-wise'!M31</x:f>
        <x:v>195.70000000000005</x:v>
      </x:c>
      <x:c r="F61" s="120" t="n">
        <x:f>-'Pool personal'!D30</x:f>
        <x:v>-340.72000000000025</x:v>
      </x:c>
      <x:c r="G61" s="120" t="n">
        <x:f>SUM(B61:F61)</x:f>
        <x:v>21263.559999999994</x:v>
      </x:c>
      <x:c r="H61" s="120" t="n">
        <x:f>ROUND(G61-E30,2)</x:f>
        <x:v>0</x:v>
      </x:c>
    </x:row>
    <x:row r="62" ht="28" customHeight="1">
      <x:c r="A62" s="111" t="str">
        <x:v>Total</x:v>
      </x:c>
      <x:c r="B62" s="112" t="n">
        <x:f>SUM(B55:B61)</x:f>
        <x:v>78966</x:v>
      </x:c>
      <x:c r="C62" s="112" t="n">
        <x:f>SUM(C55:C61)</x:f>
        <x:v>17465</x:v>
      </x:c>
      <x:c r="D62" s="112" t="n">
        <x:f>SUM(D55:D61)</x:f>
        <x:v>54238.00000000001</x:v>
      </x:c>
      <x:c r="E62" s="112" t="n">
        <x:f>SUM(E55:E61)</x:f>
        <x:v>1174</x:v>
      </x:c>
      <x:c r="F62" s="112" t="n">
        <x:f>ROUND(SUM(F55:F61),2)</x:f>
        <x:v>0</x:v>
      </x:c>
      <x:c r="G62" s="112" t="n">
        <x:f>SUM(G55:G61)</x:f>
        <x:v>151843</x:v>
      </x:c>
      <x:c r="H62" s="112" t="n">
        <x:f>SUM(H55:H61)</x:f>
        <x:v>0</x:v>
      </x:c>
    </x:row>
    <x:row r="63" ht="28" customHeight="1">
      <x:c r="A63" s="2"/>
      <x:c r="B63" s="2"/>
      <x:c r="C63" s="2"/>
      <x:c r="D63" s="2"/>
      <x:c r="E63" s="2"/>
      <x:c r="F63" s="2"/>
      <x:c r="G63" s="2"/>
      <x:c r="H63" s="2"/>
    </x:row>
    <x:row r="64" ht="28" customHeight="1">
      <x:c r="A64" s="2" t="str">
        <x:v>General less Surati covers the four equally split villas, the original airport cabs and breakfast. Kandy is shown separately.</x:v>
      </x:c>
      <x:c r="B64" s="2"/>
      <x:c r="C64" s="2"/>
      <x:c r="D64" s="2"/>
      <x:c r="E64" s="2"/>
      <x:c r="F64" s="2"/>
      <x:c r="G64" s="2"/>
      <x:c r="H64" s="2"/>
    </x:row>
    <x:row r="65" ht="28" customHeight="1">
      <x:c r="A65" s="2" t="str">
        <x:v>Pool adjustment = personal use minus equal contributor credit. A negative amount reduces the person’s expense.</x:v>
      </x:c>
      <x:c r="B65" s="2"/>
      <x:c r="C65" s="2"/>
      <x:c r="D65" s="2"/>
      <x:c r="E65" s="2"/>
      <x:c r="F65" s="2"/>
      <x:c r="G65" s="2"/>
      <x:c r="H65" s="2"/>
    </x:row>
  </x:sheetData>
  <x:conditionalFormatting sqref="H9:H15">
    <x:cfRule type="cellIs" dxfId="8" priority="1" operator="greaterThan">
      <x:formula>0</x:formula>
    </x:cfRule>
    <x:cfRule type="cellIs" dxfId="9" priority="2" operator="less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49B52"/>
  </x:sheetPr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8" hidden="0" customWidth="1"/>
    <x:col min="7" max="7" width="32" hidden="0" customWidth="1"/>
    <x:col min="8" max="8" width="5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Missing items to confirm</x:v>
      </x:c>
      <x:c r="B2" s="2"/>
      <x:c r="C2" s="2"/>
      <x:c r="D2" s="2"/>
      <x:c r="E2" s="2"/>
      <x:c r="F2" s="2"/>
      <x:c r="G2" s="2"/>
      <x:c r="H2" s="2"/>
    </x:row>
    <x:row r="3" ht="28" customHeight="1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2" t="str">
        <x:v>Incomplete amounts are excluded from expenses, payments and pooled balances until the amounts and treatment are confirmed.</x:v>
      </x:c>
      <x:c r="B4" s="2"/>
      <x:c r="C4" s="2"/>
      <x:c r="D4" s="2"/>
      <x:c r="E4" s="2"/>
      <x:c r="F4" s="2"/>
      <x:c r="G4" s="2"/>
      <x:c r="H4" s="2"/>
    </x:row>
    <x:row r="5" ht="28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109" t="str">
        <x:v>Item</x:v>
      </x:c>
      <x:c r="B6" s="109" t="str">
        <x:v>Person</x:v>
      </x:c>
      <x:c r="C6" s="109" t="str">
        <x:v>USD converted</x:v>
      </x:c>
      <x:c r="D6" s="109" t="str">
        <x:v>LKR received</x:v>
      </x:c>
      <x:c r="E6" s="109" t="str">
        <x:v>INR cost / value</x:v>
      </x:c>
      <x:c r="F6" s="109" t="str">
        <x:v>Funding treatment</x:v>
      </x:c>
      <x:c r="G6" s="109" t="str">
        <x:v>Status</x:v>
      </x:c>
      <x:c r="H6" s="109" t="str">
        <x:v>Details needed</x:v>
      </x:c>
    </x:row>
    <x:row r="7" ht="84" customHeight="1">
      <x:c r="A7" s="23" t="str">
        <x:v>Dollar-to-LKR conversion</x:v>
      </x:c>
      <x:c r="B7" s="23" t="str">
        <x:v>Rushabh</x:v>
      </x:c>
      <x:c r="C7" s="124"/>
      <x:c r="D7" s="125"/>
      <x:c r="E7" s="126"/>
      <x:c r="F7" s="123" t="str">
        <x:v>To be confirmed</x:v>
      </x:c>
      <x:c r="G7" s="23" t="str">
        <x:f>IF(COUNT(C7:E7)&lt;3,"Pending exact amounts","Amounts entered; confirm treatment")</x:f>
        <x:v>Pending exact amounts</x:v>
      </x:c>
      <x:c r="H7" s="23" t="str">
        <x:v>Exact USD converted, LKR received, INR value and whether this was extra personal money or part of the existing cash pool.</x:v>
      </x:c>
    </x:row>
    <x:row r="8" ht="28" customHeight="1">
      <x:c r="A8" s="2"/>
      <x:c r="B8" s="2"/>
      <x:c r="C8" s="2"/>
      <x:c r="D8" s="2"/>
      <x:c r="E8" s="2"/>
      <x:c r="F8" s="2"/>
      <x:c r="G8" s="2"/>
      <x:c r="H8" s="2"/>
    </x:row>
    <x:row r="9" ht="28" customHeight="1">
      <x:c r="A9" s="2"/>
      <x:c r="B9" s="2"/>
      <x:c r="C9" s="2"/>
      <x:c r="D9" s="2"/>
      <x:c r="E9" s="2"/>
      <x:c r="F9" s="2"/>
      <x:c r="G9" s="2"/>
      <x:c r="H9" s="2"/>
    </x:row>
    <x:row r="10" ht="28" customHeight="1">
      <x:c r="A10" s="2" t="str">
        <x:v>No amount is estimated. A currency exchange is not automatically a new expense; confirm whether it replenished the pool first.</x:v>
      </x:c>
      <x:c r="B10" s="2"/>
      <x:c r="C10" s="2"/>
      <x:c r="D10" s="2"/>
      <x:c r="E10" s="2"/>
      <x:c r="F10" s="2"/>
      <x:c r="G10" s="2"/>
      <x:c r="H10" s="2"/>
    </x:row>
    <x:row r="11" ht="28" customHeight="1">
      <x:c r="A11" s="2"/>
      <x:c r="B11" s="2"/>
      <x:c r="C11" s="2"/>
      <x:c r="D11" s="2"/>
      <x:c r="E11" s="2"/>
      <x:c r="F11" s="2"/>
      <x:c r="G11" s="2"/>
      <x:c r="H11" s="2"/>
    </x:row>
    <x:row r="12" ht="28" customHeight="1">
      <x:c r="A12" s="2"/>
      <x:c r="B12" s="2"/>
      <x:c r="C12" s="2"/>
      <x:c r="D12" s="2"/>
      <x:c r="E12" s="2"/>
      <x:c r="F12" s="2"/>
      <x:c r="G12" s="2"/>
      <x:c r="H12" s="2"/>
    </x:row>
    <x:row r="13" ht="28" customHeight="1">
      <x:c r="A13" s="2"/>
      <x:c r="B13" s="2"/>
      <x:c r="C13" s="2"/>
      <x:c r="D13" s="2"/>
      <x:c r="E13" s="2"/>
      <x:c r="F13" s="2"/>
      <x:c r="G13" s="2"/>
      <x:c r="H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</x:row>
  </x:sheetData>
  <x:pageMargins left="0.7" right="0.7" top="0.75" bottom="0.75" header="0.3" footer="0.3"/>
</x:worksheet>
</file>